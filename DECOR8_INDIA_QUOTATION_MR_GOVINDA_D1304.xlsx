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outa\Desktop\decor8india\"/>
    </mc:Choice>
  </mc:AlternateContent>
  <xr:revisionPtr revIDLastSave="0" documentId="13_ncr:1_{5D68BD99-0D41-4E7C-9A35-8EAE6F94847A}" xr6:coauthVersionLast="47" xr6:coauthVersionMax="47" xr10:uidLastSave="{00000000-0000-0000-0000-000000000000}"/>
  <bookViews>
    <workbookView xWindow="-108" yWindow="-108" windowWidth="23256" windowHeight="12456" xr2:uid="{00000000-000D-0000-FFFF-FFFF00000000}"/>
  </bookViews>
  <sheets>
    <sheet name="Luxury Proposal (17 Sections)" sheetId="1" r:id="rId1"/>
    <sheet name="Executive Grand Summary" sheetId="2" r:id="rId2"/>
    <sheet name="Govinda D1304 (BOQ Format)" sheetId="3" r:id="rId3"/>
  </sheets>
  <definedNames>
    <definedName name="_xlnm.Print_Area" localSheetId="1">'Executive Grand Summary'!$A$1:$F$29</definedName>
    <definedName name="_xlnm.Print_Area" localSheetId="2">'Govinda D1304 (BOQ Format)'!$A$1:$F$43</definedName>
    <definedName name="_xlnm.Print_Area" localSheetId="0">'Luxury Proposal (17 Sections)'!$A$1:$F$380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5" i="3" l="1"/>
  <c r="F34" i="3"/>
  <c r="F33" i="3"/>
  <c r="F32" i="3"/>
  <c r="F31" i="3"/>
  <c r="F30" i="3"/>
  <c r="F36" i="3" s="1"/>
  <c r="F25" i="3"/>
  <c r="F24" i="3"/>
  <c r="F23" i="3"/>
  <c r="F26" i="3" s="1"/>
  <c r="F22" i="3"/>
  <c r="F21" i="3"/>
  <c r="F20" i="3"/>
  <c r="F19" i="3"/>
  <c r="F18" i="3"/>
  <c r="F17" i="3"/>
  <c r="F12" i="3"/>
  <c r="F11" i="3"/>
  <c r="F10" i="3"/>
  <c r="F9" i="3"/>
  <c r="F8" i="3"/>
  <c r="F13" i="3" s="1"/>
  <c r="F7" i="3"/>
  <c r="E22" i="2"/>
  <c r="D359" i="1"/>
  <c r="E342" i="1"/>
  <c r="F323" i="1"/>
  <c r="F324" i="1" s="1"/>
  <c r="F311" i="1"/>
  <c r="E346" i="1" s="1"/>
  <c r="F310" i="1"/>
  <c r="F302" i="1"/>
  <c r="F303" i="1" s="1"/>
  <c r="F289" i="1"/>
  <c r="F290" i="1" s="1"/>
  <c r="F281" i="1"/>
  <c r="F282" i="1" s="1"/>
  <c r="F274" i="1"/>
  <c r="E18" i="2" s="1"/>
  <c r="F273" i="1"/>
  <c r="F265" i="1"/>
  <c r="F264" i="1"/>
  <c r="F263" i="1"/>
  <c r="F262" i="1"/>
  <c r="F261" i="1"/>
  <c r="F260" i="1"/>
  <c r="F259" i="1"/>
  <c r="F258" i="1"/>
  <c r="F257" i="1"/>
  <c r="F266" i="1" s="1"/>
  <c r="F249" i="1"/>
  <c r="F248" i="1"/>
  <c r="F247" i="1"/>
  <c r="F250" i="1" s="1"/>
  <c r="F239" i="1"/>
  <c r="F240" i="1" s="1"/>
  <c r="F231" i="1"/>
  <c r="F232" i="1" s="1"/>
  <c r="F219" i="1"/>
  <c r="E337" i="1" s="1"/>
  <c r="F218" i="1"/>
  <c r="E214" i="1"/>
  <c r="F210" i="1"/>
  <c r="F209" i="1"/>
  <c r="F208" i="1"/>
  <c r="F211" i="1" s="1"/>
  <c r="F183" i="1"/>
  <c r="F182" i="1"/>
  <c r="F184" i="1" s="1"/>
  <c r="F181" i="1"/>
  <c r="F154" i="1"/>
  <c r="F153" i="1"/>
  <c r="F155" i="1" s="1"/>
  <c r="F120" i="1"/>
  <c r="F121" i="1" s="1"/>
  <c r="F95" i="1"/>
  <c r="F94" i="1"/>
  <c r="F96" i="1" s="1"/>
  <c r="F93" i="1"/>
  <c r="F92" i="1"/>
  <c r="F91" i="1"/>
  <c r="F60" i="1"/>
  <c r="F59" i="1"/>
  <c r="F58" i="1"/>
  <c r="F55" i="1"/>
  <c r="F54" i="1"/>
  <c r="F61" i="1" s="1"/>
  <c r="F49" i="1"/>
  <c r="F50" i="1" s="1"/>
  <c r="F48" i="1"/>
  <c r="F47" i="1"/>
  <c r="F46" i="1"/>
  <c r="F45" i="1"/>
  <c r="E8" i="2" l="1"/>
  <c r="E332" i="1"/>
  <c r="E17" i="1"/>
  <c r="E64" i="1"/>
  <c r="E12" i="2"/>
  <c r="E21" i="1"/>
  <c r="E336" i="1"/>
  <c r="E187" i="1"/>
  <c r="E345" i="1"/>
  <c r="E293" i="1"/>
  <c r="E25" i="1"/>
  <c r="E21" i="2"/>
  <c r="E314" i="1"/>
  <c r="E347" i="1"/>
  <c r="E23" i="2"/>
  <c r="E9" i="2"/>
  <c r="E18" i="1"/>
  <c r="E333" i="1"/>
  <c r="E99" i="1"/>
  <c r="E14" i="2"/>
  <c r="E338" i="1"/>
  <c r="E222" i="1"/>
  <c r="E22" i="1"/>
  <c r="E29" i="1"/>
  <c r="E16" i="1"/>
  <c r="E6" i="2"/>
  <c r="E330" i="1"/>
  <c r="E348" i="1" s="1"/>
  <c r="E19" i="1"/>
  <c r="E10" i="2"/>
  <c r="E124" i="1"/>
  <c r="E334" i="1"/>
  <c r="E339" i="1"/>
  <c r="E235" i="1"/>
  <c r="E15" i="2"/>
  <c r="E7" i="2"/>
  <c r="E331" i="1"/>
  <c r="E340" i="1"/>
  <c r="E23" i="1"/>
  <c r="E243" i="1"/>
  <c r="E16" i="2"/>
  <c r="F38" i="3"/>
  <c r="E20" i="1"/>
  <c r="E158" i="1"/>
  <c r="E335" i="1"/>
  <c r="E11" i="2"/>
  <c r="E24" i="1"/>
  <c r="E277" i="1"/>
  <c r="E19" i="2"/>
  <c r="E343" i="1"/>
  <c r="E253" i="1"/>
  <c r="E17" i="2"/>
  <c r="E341" i="1"/>
  <c r="E20" i="2"/>
  <c r="E344" i="1"/>
  <c r="E285" i="1"/>
  <c r="E269" i="1"/>
  <c r="E306" i="1"/>
  <c r="E13" i="2"/>
  <c r="D21" i="2" l="1"/>
  <c r="D13" i="2"/>
  <c r="E351" i="1"/>
  <c r="E350" i="1"/>
  <c r="E352" i="1" s="1"/>
  <c r="D20" i="2"/>
  <c r="F39" i="3"/>
  <c r="F41" i="3" s="1"/>
  <c r="F40" i="3"/>
  <c r="D10" i="2"/>
  <c r="E24" i="2"/>
  <c r="D15" i="2" s="1"/>
  <c r="D6" i="2"/>
  <c r="D19" i="2"/>
  <c r="D8" i="2"/>
  <c r="E26" i="1" l="1"/>
  <c r="E357" i="1"/>
  <c r="E356" i="1"/>
  <c r="D22" i="2"/>
  <c r="E26" i="2"/>
  <c r="E25" i="2"/>
  <c r="E27" i="2" s="1"/>
  <c r="D18" i="2"/>
  <c r="D23" i="2"/>
  <c r="D9" i="2"/>
  <c r="D14" i="2"/>
  <c r="D16" i="2"/>
  <c r="D17" i="2"/>
  <c r="D11" i="2"/>
  <c r="D12" i="2"/>
  <c r="D7" i="2"/>
  <c r="D24" i="2" s="1"/>
  <c r="E358" i="1" l="1"/>
  <c r="E359" i="1" s="1"/>
</calcChain>
</file>

<file path=xl/sharedStrings.xml><?xml version="1.0" encoding="utf-8"?>
<sst xmlns="http://schemas.openxmlformats.org/spreadsheetml/2006/main" count="713" uniqueCount="430">
  <si>
    <t>LUXURY INTERIOR DESIGN &amp; TURNKEY FITOUT QUOTATION</t>
  </si>
  <si>
    <t>DECOR8 INDIA</t>
  </si>
  <si>
    <t>#14, Sy NO 36/1 Vasanth Vallabhnagar, Vasanthapura</t>
  </si>
  <si>
    <t>Uttarahalli Hobli, Bengaluru - 560061</t>
  </si>
  <si>
    <t>Affordable Luxury Interiors
www.decor8india.com</t>
  </si>
  <si>
    <t>+91 88841 31414 , +91 93805 23743</t>
  </si>
  <si>
    <t>GSTIN: 29CHPPB0944C2ZD</t>
  </si>
  <si>
    <t>QUOTATION FOR — MR. GOVINDA (Kolte Patil D1304)</t>
  </si>
  <si>
    <t>Representative: Mr. Satish Bhat (CEO)</t>
  </si>
  <si>
    <t>Quotation No:</t>
  </si>
  <si>
    <t>D8202607102</t>
  </si>
  <si>
    <t>Quotation Date:</t>
  </si>
  <si>
    <t>06-AUG-2026</t>
  </si>
  <si>
    <t>Contact No:</t>
  </si>
  <si>
    <t>+91 93805 23743 / +91 88841 31414</t>
  </si>
  <si>
    <t>Project Location:</t>
  </si>
  <si>
    <t>Kolte Patil D1304, Bengaluru</t>
  </si>
  <si>
    <t>Project Type:</t>
  </si>
  <si>
    <t>Complete 3BHK Turnkey Interior</t>
  </si>
  <si>
    <t>Quotation Status:</t>
  </si>
  <si>
    <t>Official Luxury Proposal</t>
  </si>
  <si>
    <t>PROJECT SCOPE &amp; CATEGORY DIRECTORY</t>
  </si>
  <si>
    <t>#</t>
  </si>
  <si>
    <t>Scope Category / Room</t>
  </si>
  <si>
    <t>Key Materials &amp; Design Scope</t>
  </si>
  <si>
    <t>Section Sub-Total (₹)</t>
  </si>
  <si>
    <t>01</t>
  </si>
  <si>
    <t>Modular Kitchen &amp; Sink</t>
  </si>
  <si>
    <t>AICA Acrylic + CenturyPly 710 BWP + Carysil Sink</t>
  </si>
  <si>
    <t>02</t>
  </si>
  <si>
    <t>Living Room</t>
  </si>
  <si>
    <t>Vitrified Marble Wall + Fluted Rafters + 5-Seater Sofa</t>
  </si>
  <si>
    <t>03</t>
  </si>
  <si>
    <t>Dining Area</t>
  </si>
  <si>
    <t>6-Seater Marble Dining Table &amp; Upholstered Chairs</t>
  </si>
  <si>
    <t>04</t>
  </si>
  <si>
    <t>Master Bedroom</t>
  </si>
  <si>
    <t>Lacquered Glass Wardrobe + Queen Hydraulic Bed</t>
  </si>
  <si>
    <t>05</t>
  </si>
  <si>
    <t>Bedroom 02</t>
  </si>
  <si>
    <t>High Gloss Acrylic Wardrobe + King Hydraulic Bed</t>
  </si>
  <si>
    <t>06</t>
  </si>
  <si>
    <t>Bedroom 03</t>
  </si>
  <si>
    <t>07-09</t>
  </si>
  <si>
    <t>Maid, Vanity &amp; Utility</t>
  </si>
  <si>
    <t>Carcass 710 BWP + KalingaStone + Jaquar + Storage</t>
  </si>
  <si>
    <t>10-11</t>
  </si>
  <si>
    <t>False Ceiling &amp; Electrical</t>
  </si>
  <si>
    <t>Gyproc False Ceiling + Havells LED + Chandelier</t>
  </si>
  <si>
    <t>12-14</t>
  </si>
  <si>
    <t>Plumbing, Painting &amp; Cleaning</t>
  </si>
  <si>
    <t>Asian Paints Royale + Jaquar Plumbing + Deep Clean</t>
  </si>
  <si>
    <t>15-17</t>
  </si>
  <si>
    <t>Design, Logistics &amp; Management</t>
  </si>
  <si>
    <t>2D/3D Architecture + Site Oversight + Transport</t>
  </si>
  <si>
    <t>TOTAL ESTIMATED TURNKEY VALUE (INCL. 18% GST)</t>
  </si>
  <si>
    <t>* Please turn to individual pages ahead for full-scale visual elevations, itemized material specifications, and milestone schedules.</t>
  </si>
  <si>
    <t>SECTION 01 OF 17</t>
  </si>
  <si>
    <t>Modular Kitchen</t>
  </si>
  <si>
    <t>AICA High Gloss Acrylic • CenturyPly • Hettich</t>
  </si>
  <si>
    <t>Kitchen Finish (Reference Image)</t>
  </si>
  <si>
    <t>— AICA High Gloss Acrylic Shutters</t>
  </si>
  <si>
    <t>— CenturyPly 710 BWP — Base Units</t>
  </si>
  <si>
    <t>— CenturyPly 310 MR — Wall &amp; Loft</t>
  </si>
  <si>
    <t>— Hettich Hinges &amp; Tandem Channels</t>
  </si>
  <si>
    <t>— LED Under-Cabinet Lighting</t>
  </si>
  <si>
    <t>— Factory Manufactured • CNC Cut</t>
  </si>
  <si>
    <t>Item</t>
  </si>
  <si>
    <t>Specification &amp; Materials</t>
  </si>
  <si>
    <t>Qty</t>
  </si>
  <si>
    <t>Unit</t>
  </si>
  <si>
    <t>Rate (₹)</t>
  </si>
  <si>
    <t>Amount (₹)</t>
  </si>
  <si>
    <t>Base Units</t>
  </si>
  <si>
    <t>72 Sq.ft × ₹2,300 — CenturyPly 710 BWP, Acrylic</t>
  </si>
  <si>
    <t>Sq.ft</t>
  </si>
  <si>
    <t>Wall Units</t>
  </si>
  <si>
    <t>48 Sq.ft × ₹2,150 — CenturyPly 310 MR, Acrylic</t>
  </si>
  <si>
    <t>Loft</t>
  </si>
  <si>
    <t>48 Sq.ft × ₹1,450 — CenturyPly 310 MR, Laminate</t>
  </si>
  <si>
    <t>Kitchen Accessories</t>
  </si>
  <si>
    <t>Hettich Cutlery + Pots &amp; Pan + Baskets + Oil Pull-Out + Wicker</t>
  </si>
  <si>
    <t>Set</t>
  </si>
  <si>
    <t>Quartz Countertop</t>
  </si>
  <si>
    <t>54 Sq.ft × ₹2,200 — KalingaStone Premium</t>
  </si>
  <si>
    <t>Kitchen Units Sub-Total</t>
  </si>
  <si>
    <t>Kitchen Sink &amp; Plumbing</t>
  </si>
  <si>
    <t>Carysil Premium Quartz Sink</t>
  </si>
  <si>
    <t>Composite Quartz Single Bowl with Drainboard</t>
  </si>
  <si>
    <t>No.</t>
  </si>
  <si>
    <t>Jaquar Pull-Out Mixer</t>
  </si>
  <si>
    <t>Jaquar Chrome Finish Pull-Out Kitchen Faucet</t>
  </si>
  <si>
    <t>Waste Coupling + Bottle Trap</t>
  </si>
  <si>
    <t>Brass &amp; Stainless Steel Heavy Duty Fittings</t>
  </si>
  <si>
    <t>Nos</t>
  </si>
  <si>
    <t>Angle Valves + Flexible Hoses</t>
  </si>
  <si>
    <t>Jaquar Certified Chrome Angle Valves &amp; Braided Hoses</t>
  </si>
  <si>
    <t>CPVC/UPVC Pipe Materials</t>
  </si>
  <si>
    <t>Ashirvad/Supreme Certified Plumbing Line &amp; Couplers</t>
  </si>
  <si>
    <t>L.S.</t>
  </si>
  <si>
    <t>Plumbing Consumables</t>
  </si>
  <si>
    <t>Solvents, teflon tapes, fasteners, clamps &amp; sealants</t>
  </si>
  <si>
    <t>Kitchen Plumbing Labour</t>
  </si>
  <si>
    <t>Installation, alignment, pressure &amp; leakage testing</t>
  </si>
  <si>
    <t>Sink &amp; Plumbing Sub-Total</t>
  </si>
  <si>
    <t>SECTION 02 OF 17</t>
  </si>
  <si>
    <t>TV Unit • Back Panelling • Feature Wall • Decorative Rafters • Sofa</t>
  </si>
  <si>
    <t>TV Wall Reference</t>
  </si>
  <si>
    <t>Sofa Reference</t>
  </si>
  <si>
    <t>— Marble Finish Feature Wall — Vitrified Tile</t>
  </si>
  <si>
    <t>— 5 Seater — Solid Wood Frame</t>
  </si>
  <si>
    <t>— Decorative Wooden Rafters flanking wall</t>
  </si>
  <si>
    <t>— High Resilience (HR) Foam</t>
  </si>
  <si>
    <t>— Floating TV Base Unit with LED cove</t>
  </si>
  <si>
    <t>— Premium Fabric Upholstery</t>
  </si>
  <si>
    <t>— Back Panelling — CenturyPly 710 BWP</t>
  </si>
  <si>
    <t>— Colour: As per design selection</t>
  </si>
  <si>
    <t>— Factory Manufactured &amp; CNC Cut</t>
  </si>
  <si>
    <t>TV Unit Base Storage</t>
  </si>
  <si>
    <t>16 Sq.ft × ₹1,850 — CenturyPly 710 BWP</t>
  </si>
  <si>
    <t>TV Back Panelling</t>
  </si>
  <si>
    <t>56 Sq.ft × ₹1,850 — CenturyPly 710 BWP</t>
  </si>
  <si>
    <t>Marble Finish Feature Wall</t>
  </si>
  <si>
    <t>45 Sq.ft × ₹1,870 — Vitrified Marble Tile</t>
  </si>
  <si>
    <t>Decorative Rafters</t>
  </si>
  <si>
    <t>54 Sq.ft × ₹1,300 — Engineered Wood</t>
  </si>
  <si>
    <t>Premium Sofa</t>
  </si>
  <si>
    <t>5 Seater — Solid Wood Frame, HR Foam, Premium Fabric</t>
  </si>
  <si>
    <t>Living Room Sub-Total</t>
  </si>
  <si>
    <t>SECTION 03 OF 17</t>
  </si>
  <si>
    <t>6-Seater Marble Dining Table &amp; Chairs</t>
  </si>
  <si>
    <t>Dining Table Reference</t>
  </si>
  <si>
    <t>— 6-Seater Marble-Top Dining Table</t>
  </si>
  <si>
    <t>— Fluted Column Pedestal Base</t>
  </si>
  <si>
    <t>— Gold Accent Edge Detail</t>
  </si>
  <si>
    <t>— 6 Upholstered Dining Chairs included</t>
  </si>
  <si>
    <t>— Premium Fabric — Cream Tone</t>
  </si>
  <si>
    <t>Dining Table Set</t>
  </si>
  <si>
    <t>6-Seater Marble-Top Dining Table + 6 Upholstered Chairs</t>
  </si>
  <si>
    <t>Dining Area Sub-Total</t>
  </si>
  <si>
    <t>SECTION 04 OF 17</t>
  </si>
  <si>
    <t>Lacquered Glass Wardrobe • Queen Bed with Hydraulic Storage • Side Tables</t>
  </si>
  <si>
    <t>Master Bedroom Wardrobe</t>
  </si>
  <si>
    <t>Bed Reference</t>
  </si>
  <si>
    <t>— Premium Lacquered Glass Sliding Shutters</t>
  </si>
  <si>
    <t>— Queen Size Bed — Hydraulic Storage</t>
  </si>
  <si>
    <t>— CenturyPly 310 MR — 19 mm Carcass, 9 mm Back</t>
  </si>
  <si>
    <t>— Premium Upholstered Headboard</t>
  </si>
  <si>
    <t>— Hettich Premium Sliding Hardware &amp; Soft-Close</t>
  </si>
  <si>
    <t>— Two Bedside Tables with storage</t>
  </si>
  <si>
    <t>— 4 Soft-Close Drawers • 2 Hanging Sections</t>
  </si>
  <si>
    <t>— Soft-Close Hardware throughout</t>
  </si>
  <si>
    <t>— 8 Adjustable Shelves • Loft Included</t>
  </si>
  <si>
    <t>— Dressing Area with backlit round mirror</t>
  </si>
  <si>
    <t>— CNC Machine Manufactured</t>
  </si>
  <si>
    <t>Wardrobe with Loft</t>
  </si>
  <si>
    <t>108 Sq.ft × ₹2,350 — Lacquered Glass Sliding Shutters</t>
  </si>
  <si>
    <t>Queen Size Bed</t>
  </si>
  <si>
    <t>Hydraulic Storage + Upholstered Headboard + 2 Side Tables</t>
  </si>
  <si>
    <t>Master Bedroom Sub-Total</t>
  </si>
  <si>
    <t>SECTION 05 OF 17</t>
  </si>
  <si>
    <t>Acrylic Sliding Wardrobe • Loft • King Bed with Hydraulic Storage</t>
  </si>
  <si>
    <t>Bedroom 02 Wardrobe Reference</t>
  </si>
  <si>
    <t>— High Gloss Acrylic Sliding Shutters</t>
  </si>
  <si>
    <t>— CenturyPly 310 MR — 19mm Carcass</t>
  </si>
  <si>
    <t>— Hettich Sliding Hardware</t>
  </si>
  <si>
    <t>— 3 Soft-Close Drawers Included</t>
  </si>
  <si>
    <t>— Hanging Section &amp; Adjustable Shelves</t>
  </si>
  <si>
    <t>Wardrobe</t>
  </si>
  <si>
    <t>77 Sq.ft × ₹2,100 — Acrylic Sliding Shutters</t>
  </si>
  <si>
    <t>22 Sq.ft × ₹1,450 — CenturyPly 310 MR, Laminate</t>
  </si>
  <si>
    <t>King Size Bed</t>
  </si>
  <si>
    <t>Hydraulic Storage • Premium Headboard • Factory Finished</t>
  </si>
  <si>
    <t>Bedroom 02 Sub-Total</t>
  </si>
  <si>
    <t>SECTION 06 OF 17</t>
  </si>
  <si>
    <t>Bedroom 03 Wardrobe Reference</t>
  </si>
  <si>
    <t>— CenturyPly 310 MR — 19 mm Carcass</t>
  </si>
  <si>
    <t>Bedroom 03 Sub-Total</t>
  </si>
  <si>
    <t>SECTION 07 OF 17</t>
  </si>
  <si>
    <t>Maid Room</t>
  </si>
  <si>
    <t>Single Bed with Hydraulic Storage</t>
  </si>
  <si>
    <t>Single Bed</t>
  </si>
  <si>
    <t>CenturyPly 310 MR • Hydraulic Storage • Laminate Finish</t>
  </si>
  <si>
    <t>Maid Room Sub-Total</t>
  </si>
  <si>
    <t>SECTION 08 OF 17</t>
  </si>
  <si>
    <t>Bathroom Vanity Units</t>
  </si>
  <si>
    <t>Countertops, Mirrors &amp; Sanitary Mixers for 3 Bathrooms</t>
  </si>
  <si>
    <t>✓ INCLUDED  KalingaStone Quartz Top — Premium Quartz Countertop — 3 Bathrooms</t>
  </si>
  <si>
    <t>✓ INCLUDED  Premium Mirror — 3 Nos — Framed/Backlit per design</t>
  </si>
  <si>
    <t>✓ INCLUDED  Jaquar Basin Mixer — 3 Nos — Premium Collection</t>
  </si>
  <si>
    <t>✓ INCLUDED  Plumbing Fittings — Bottle Trap, Waste Coupling, Angle Valve, Hoses — 3 sets</t>
  </si>
  <si>
    <t>Vanity Carcass</t>
  </si>
  <si>
    <t>29 Sq.ft × ₹2,300 — CenturyPly 710 BWP 19mm Marine Grade</t>
  </si>
  <si>
    <t>Bathroom Vanity Sub-Total</t>
  </si>
  <si>
    <t>SECTION 09 OF 17</t>
  </si>
  <si>
    <t>Utility Storage</t>
  </si>
  <si>
    <t>Base + Wall + Loft Storage Unit</t>
  </si>
  <si>
    <t>Utility Storage Unit</t>
  </si>
  <si>
    <t>25 Sq.ft × ₹1,950 — Base + Wall + Loft • CenturyPly 710 BWP • Laminate</t>
  </si>
  <si>
    <t>Utility Storage Sub-Total</t>
  </si>
  <si>
    <t>SECTION 10 OF 17</t>
  </si>
  <si>
    <t>False Ceiling</t>
  </si>
  <si>
    <t>Gypsum False Ceiling, PVC System &amp; Grid Ceilings</t>
  </si>
  <si>
    <t>Gypsum False Ceiling — All Areas</t>
  </si>
  <si>
    <t>Saint-Gobain Gyproc 12mm • GI Channel • Cove + Profile + LED Provision</t>
  </si>
  <si>
    <t>PVC Ceiling — Utility Area</t>
  </si>
  <si>
    <t>Waterproof PVC Panel System with perimeter finish</t>
  </si>
  <si>
    <t>Grid Ceiling — Service Area</t>
  </si>
  <si>
    <t>Armstrong / Gyproc Grid System with moisture resistance</t>
  </si>
  <si>
    <t>False Ceiling Sub-Total</t>
  </si>
  <si>
    <t>SECTION 11 OF 17</t>
  </si>
  <si>
    <t>Electrical &amp; Lighting</t>
  </si>
  <si>
    <t>Havells LED Lights, Strip Lights, Chandelier &amp; Profile Lighting</t>
  </si>
  <si>
    <t>Electrical Labour</t>
  </si>
  <si>
    <t>Complete wiring, conduits, modular switch fittings &amp; testing</t>
  </si>
  <si>
    <t>Havells 12W LED Panel Lights</t>
  </si>
  <si>
    <t>26 Nos × ₹650 — Warm white / natural white ceiling panel lights</t>
  </si>
  <si>
    <t>Havells COB Spot Lights</t>
  </si>
  <si>
    <t>12 Nos × ₹950 — Focused architectural spotlighting</t>
  </si>
  <si>
    <t>Havells LED Strip Lights (5m Roll)</t>
  </si>
  <si>
    <t>8 Rolls × ₹1,365 — 3000K warm cove accent strip lights</t>
  </si>
  <si>
    <t>Rolls</t>
  </si>
  <si>
    <t>Havells LED Drivers</t>
  </si>
  <si>
    <t>8 Nos × ₹650 — Constant voltage dedicated driver units</t>
  </si>
  <si>
    <t>Decorative Pendant Light</t>
  </si>
  <si>
    <t>1 No. × ₹6,500 — Dining / Foyer designer accent light</t>
  </si>
  <si>
    <t>Living Room Chandelier</t>
  </si>
  <si>
    <t>1 No. × ₹18,000 — Designer luxury living room centerpiece</t>
  </si>
  <si>
    <t>Aluminium Profile Lights</t>
  </si>
  <si>
    <t>40 Rft × ₹650/Rft — Recessed slim profile with diffuser</t>
  </si>
  <si>
    <t>Rft</t>
  </si>
  <si>
    <t>FRLS Wires &amp; Modular Switches</t>
  </si>
  <si>
    <t>Polycab/Finolex FRLS Wires, Anchor/Schneider modular switches</t>
  </si>
  <si>
    <t>Electrical &amp; Lighting Sub-Total</t>
  </si>
  <si>
    <t>SECTION 12 OF 17</t>
  </si>
  <si>
    <t>Plumbing Labour</t>
  </si>
  <si>
    <t>Sanitaryware, Basin Mixers &amp; Drainline Connections</t>
  </si>
  <si>
    <t>Kitchen Sink + 3 Basin Mixers + Connections + Leakage Testing</t>
  </si>
  <si>
    <t>Plumbing Sub-Total</t>
  </si>
  <si>
    <t>SECTION 13 OF 17</t>
  </si>
  <si>
    <t>Painting</t>
  </si>
  <si>
    <t>Asian Paints Royale Luxury Emulsion with Full Surface Prep</t>
  </si>
  <si>
    <t>Interior Painting</t>
  </si>
  <si>
    <t>3,850 Sq.ft × ₹42 — 2 coats Wall Putty + 1 Primer + 2 coats Royale Luxury</t>
  </si>
  <si>
    <t>Painting Sub-Total</t>
  </si>
  <si>
    <t>SECTION 14 OF 17</t>
  </si>
  <si>
    <t>Deep Cleaning</t>
  </si>
  <si>
    <t>Post-Installation Professional House Deep Cleaning</t>
  </si>
  <si>
    <t>Post-installation professional deep clean, vacuuming &amp; sanitization</t>
  </si>
  <si>
    <t>Job</t>
  </si>
  <si>
    <t>Deep Cleaning Sub-Total</t>
  </si>
  <si>
    <t>SECTION 15 OF 17</t>
  </si>
  <si>
    <t>Design Fees</t>
  </si>
  <si>
    <t>2D/3D Architecture, Working Drawings &amp; Walkthrough Video</t>
  </si>
  <si>
    <t>— 2D Layout Planning</t>
  </si>
  <si>
    <t>— Plumbing Drawings</t>
  </si>
  <si>
    <t>— 3D Design Visualization</t>
  </si>
  <si>
    <t>— False Ceiling Drawings</t>
  </si>
  <si>
    <t>— Working Drawings</t>
  </si>
  <si>
    <t>— Walkthrough Video</t>
  </si>
  <si>
    <t>— Electrical Drawings</t>
  </si>
  <si>
    <t>— Material Moodboard &amp; Palette</t>
  </si>
  <si>
    <t>1,200 Sq.ft × ₹55/Sq.ft — Architectural &amp; 3D Interior Design Package</t>
  </si>
  <si>
    <t>Design Fees Sub-Total</t>
  </si>
  <si>
    <t>SECTION 16 OF 17</t>
  </si>
  <si>
    <t>Loading &amp; Unloading</t>
  </si>
  <si>
    <t>Site Logistics &amp; Material Transport Coordination</t>
  </si>
  <si>
    <t>Site logistics — material handling, transport coordination, vertical shifting</t>
  </si>
  <si>
    <t>Loading &amp; Unloading Sub-Total</t>
  </si>
  <si>
    <t>SECTION 17 OF 17</t>
  </si>
  <si>
    <t>Project Management</t>
  </si>
  <si>
    <t>Site Supervision, Quality Control &amp; Project Handover</t>
  </si>
  <si>
    <t>— Site Supervision</t>
  </si>
  <si>
    <t>— Execution Management</t>
  </si>
  <si>
    <t>— Vendor Coordination</t>
  </si>
  <si>
    <t>— Final Snag Rectification</t>
  </si>
  <si>
    <t>— Material Inspection</t>
  </si>
  <si>
    <t>— Project Handover</t>
  </si>
  <si>
    <t>— Quality Control</t>
  </si>
  <si>
    <t>— Client Alignment Meetings</t>
  </si>
  <si>
    <t>Site supervision &amp; execution oversight, full project tenure</t>
  </si>
  <si>
    <t>Project Management Sub-Total</t>
  </si>
  <si>
    <t>Grand Summary</t>
  </si>
  <si>
    <t>Complete cost breakdown across all 17 sections</t>
  </si>
  <si>
    <t>Section</t>
  </si>
  <si>
    <t>Modular Kitchen (Units)</t>
  </si>
  <si>
    <t>Kitchen Sink &amp; Plumbing Materials</t>
  </si>
  <si>
    <t>07</t>
  </si>
  <si>
    <t>08</t>
  </si>
  <si>
    <t>09</t>
  </si>
  <si>
    <t>10</t>
  </si>
  <si>
    <t>11</t>
  </si>
  <si>
    <t>12</t>
  </si>
  <si>
    <t>13</t>
  </si>
  <si>
    <t>14</t>
  </si>
  <si>
    <t>15</t>
  </si>
  <si>
    <t>16</t>
  </si>
  <si>
    <t>17</t>
  </si>
  <si>
    <t>GRAND TOTAL</t>
  </si>
  <si>
    <t>* Computed total: ₹29,22,133. GST @18% extra. Final billing per site measurement.</t>
  </si>
  <si>
    <t>CGST @ 9%</t>
  </si>
  <si>
    <t>SGST @ 9%</t>
  </si>
  <si>
    <t>TOTAL PROJECT COST (A+B+C) INCLUDING 18% GST</t>
  </si>
  <si>
    <t>Payment Schedule</t>
  </si>
  <si>
    <t>Sl No</t>
  </si>
  <si>
    <t>Payment Timelines &amp; Milestones</t>
  </si>
  <si>
    <t>Stage %</t>
  </si>
  <si>
    <t>Milestone Amount (₹)</t>
  </si>
  <si>
    <t>At the time of project / order confirmation</t>
  </si>
  <si>
    <t>At the time of starting the production / execution at factory</t>
  </si>
  <si>
    <t>After completion of production / before dispatch to site for installation</t>
  </si>
  <si>
    <t>Total Milestone Payment Check</t>
  </si>
  <si>
    <t>Company Account Information</t>
  </si>
  <si>
    <t>Please issue A/c Payee cheque in the name of "DECOR8 INDIA" or transfer online to:</t>
  </si>
  <si>
    <t>Bank Name:</t>
  </si>
  <si>
    <t>IDFC FIRST BANK</t>
  </si>
  <si>
    <t>Account Name:</t>
  </si>
  <si>
    <t>Branch Name:</t>
  </si>
  <si>
    <t>BTM Layout, Bengaluru</t>
  </si>
  <si>
    <t>Account Number:</t>
  </si>
  <si>
    <t>10075641203</t>
  </si>
  <si>
    <t>Account Type:</t>
  </si>
  <si>
    <t>Current Account</t>
  </si>
  <si>
    <t>IFSC Code:</t>
  </si>
  <si>
    <t>IDFB0080182</t>
  </si>
  <si>
    <t>* Terms &amp; Conditions</t>
  </si>
  <si>
    <t>* Price is valid for 30 days only after the 1st estimation is offered. Possibility of price revision may happen due to vendor supplier reasons.</t>
  </si>
  <si>
    <t>* DECOR8 will cover warranty period upto 15 years for any wood work related products on manufacturing defects (Plywood bendness not included). DECOR8 will not cover warranty for intentional wear and tear or damages from customer side. All other products from different vendors like Hettich, KAFF, EBCO, Havells etc will be covered by respective vendors as per their norms and DECOR8 will support for the same.</t>
  </si>
  <si>
    <t>* Payment terms as per payment slab should be followed from the time of booking by the client for smooth functioning of work. After any revised quote due to addition of products/changes, if price adds up, client needs to pay difference amount during that phase. Any reductions will be adjusted in final billing.</t>
  </si>
  <si>
    <t>* Designs will not start until complete booking amount is credited to the company followed by payment slabs for production &amp; installation as per progress.</t>
  </si>
  <si>
    <t>* Any delay in terms of payment as per above payment schedule may cause delay in execution for which DECOR8 won't be responsible.</t>
  </si>
  <si>
    <t>* Price may be revised if there is any official raw material price hike by supplier while project is still in designing stage. No revision for projects already under production.</t>
  </si>
  <si>
    <t>* Once an order is confirmed and customer wants to cancel the order, NO amount will be refunded.</t>
  </si>
  <si>
    <t>* No hidden charges for 3D designs (only 03 corrections/revisions allowed).</t>
  </si>
  <si>
    <t>* Any corrections beyond 03 times, INR 3,000 per each rendering will be charged to the client.</t>
  </si>
  <si>
    <t>* Once the designs are approved and execution has started, no changes will be accepted in terms of structure or design modifications.</t>
  </si>
  <si>
    <t>Authorized Signatory
For DECOR8 INDIA (Satish Bhat, CEO)</t>
  </si>
  <si>
    <t>Client Acceptance Signature
MR. GOVINDA (Kolte Patil D1304)</t>
  </si>
  <si>
    <t>www.decor8india.com  •  Affordable Luxury Turnkey Interiors  •  Bengaluru</t>
  </si>
  <si>
    <t>DECOR8 INDIA — EXECUTIVE COST BREAKDOWN &amp; PROJECT SUMMARY</t>
  </si>
  <si>
    <t>Client: MR. GOVINDA | Project: Kolte Patil D1304</t>
  </si>
  <si>
    <t>Quotation No: D8202607102 | Date: 06-AUG-2026</t>
  </si>
  <si>
    <t>Section / Room Description</t>
  </si>
  <si>
    <t>Scope Type</t>
  </si>
  <si>
    <t>% Total</t>
  </si>
  <si>
    <t>Specifications Highlights</t>
  </si>
  <si>
    <t>Joinery &amp; Woodwork</t>
  </si>
  <si>
    <t>Acrylic + Century BWP 710 + Hettich</t>
  </si>
  <si>
    <t>Sanitary &amp; Fixtures</t>
  </si>
  <si>
    <t>Carysil Quartz Sink + Jaquar Mixer</t>
  </si>
  <si>
    <t>Furniture &amp; Panelling</t>
  </si>
  <si>
    <t>Vitrified Wall + Rafters + 5-Seater Sofa</t>
  </si>
  <si>
    <t>Loose Furniture</t>
  </si>
  <si>
    <t>Joinery &amp; Furniture</t>
  </si>
  <si>
    <t>Lacquered Glass Wardrobe + Queen Bed</t>
  </si>
  <si>
    <t>Acrylic Sliding Wardrobe + King Bed</t>
  </si>
  <si>
    <t>Sanitary &amp; Joinery</t>
  </si>
  <si>
    <t>Marine Carcass + KalingaStone Top + Jaquar</t>
  </si>
  <si>
    <t>Base + Wall + Loft Century 710 BWP</t>
  </si>
  <si>
    <t>Civil &amp; Ceiling</t>
  </si>
  <si>
    <t>Saint-Gobain Gyproc + PVC + Grid</t>
  </si>
  <si>
    <t>Electrical</t>
  </si>
  <si>
    <t>Havells LED + Chandelier + Profile Lights</t>
  </si>
  <si>
    <t>Plumbing</t>
  </si>
  <si>
    <t>Sanitary, Sink &amp; Pressure Testing</t>
  </si>
  <si>
    <t>Finishing</t>
  </si>
  <si>
    <t>Asian Paints Royale Luxury (3,850 Sq.ft)</t>
  </si>
  <si>
    <t>Logistics &amp; Handover</t>
  </si>
  <si>
    <t>Professional Deep Cleaning &amp; Sanitization</t>
  </si>
  <si>
    <t>Architecture &amp; Design</t>
  </si>
  <si>
    <t>2D/3D Drawings &amp; Walkthrough Video</t>
  </si>
  <si>
    <t>Logistics</t>
  </si>
  <si>
    <t>Material Transport &amp; Vertical Shifting</t>
  </si>
  <si>
    <t>Supervision &amp; Execution</t>
  </si>
  <si>
    <t>Full Tenure Site Oversight &amp; Snagging</t>
  </si>
  <si>
    <t>GRAND TOTAL (EXCL. GST)</t>
  </si>
  <si>
    <t>Base Project Value</t>
  </si>
  <si>
    <t>Central GST (9%)</t>
  </si>
  <si>
    <t>State GST (9%)</t>
  </si>
  <si>
    <t>FINAL ESTIMATED PROJECT VALUE (INCL. 18% GST)</t>
  </si>
  <si>
    <t>Complete Turnkey Cost</t>
  </si>
  <si>
    <t>Payment Milestones: 15% Booking Confirmation  |  50% Factory Production  |  35% Pre-Dispatch to Site</t>
  </si>
  <si>
    <t>DECOR8 INDIA — BILL OF QUANTITIES (BOQ)</t>
  </si>
  <si>
    <t>QUOTATION FOR — MR. GOVINDA - Kolte Patil D1304</t>
  </si>
  <si>
    <t>Representative: Mr. Satish Bhat</t>
  </si>
  <si>
    <t>Section A: Wood work &amp; Modular Finish CENTURY PLY</t>
  </si>
  <si>
    <t>Item Name</t>
  </si>
  <si>
    <t>Sub Item Name / Description</t>
  </si>
  <si>
    <t>Total SQFT</t>
  </si>
  <si>
    <t>Rate</t>
  </si>
  <si>
    <t>Amount</t>
  </si>
  <si>
    <t>Utility storage</t>
  </si>
  <si>
    <t>Profile shutters — For TV unit and kitchen</t>
  </si>
  <si>
    <t>Loft — Frame with shutters</t>
  </si>
  <si>
    <t>Tall Unit</t>
  </si>
  <si>
    <t>Tall Storage Unit</t>
  </si>
  <si>
    <t>Wicker Basket</t>
  </si>
  <si>
    <t>Wicker Basket — 2 Baskets</t>
  </si>
  <si>
    <t>KBR Wardrobe</t>
  </si>
  <si>
    <t>Swing Wardrobe — Century MR Ply carcase &amp; Laminate Finish</t>
  </si>
  <si>
    <t>KBR Loft</t>
  </si>
  <si>
    <t>Sub Total excluding GST (A)</t>
  </si>
  <si>
    <t>Section B: Appliances &amp; Accessories</t>
  </si>
  <si>
    <t>Kitchen Hardware</t>
  </si>
  <si>
    <t>Hob and Chimney (Elica / Kutchina)</t>
  </si>
  <si>
    <t>Sink</t>
  </si>
  <si>
    <t>Inbuilt Oven and Microwave (Model selection price may vary)</t>
  </si>
  <si>
    <t>Copper pipe for Gas Cylinder connection</t>
  </si>
  <si>
    <t>1x cutlery with tandem drawer</t>
  </si>
  <si>
    <t>1x plain ss basket drawer</t>
  </si>
  <si>
    <t>Rolling shutter</t>
  </si>
  <si>
    <t>1x thali basket, Magic corner, Wicker basket</t>
  </si>
  <si>
    <t>Wardrobes Hardware</t>
  </si>
  <si>
    <t>Handles, hinges and required hardwares added</t>
  </si>
  <si>
    <t>Sub Total excluding GST (B)</t>
  </si>
  <si>
    <t>Section C: Miscellaneous &amp; Loose Furniture</t>
  </si>
  <si>
    <t>King size bed</t>
  </si>
  <si>
    <t>King size bed Hydraulic with Headboard and side table</t>
  </si>
  <si>
    <t>Queen size bed</t>
  </si>
  <si>
    <t>Queen size bed Hydraulic with Headboard and side table with cushion</t>
  </si>
  <si>
    <t>Wallpapers</t>
  </si>
  <si>
    <t>Premium textured designer wallpapers as per selection</t>
  </si>
  <si>
    <t>Royale Aspira — 1 coat primer + 2 coats Asian Paints Aspira</t>
  </si>
  <si>
    <t>Quartz/Granite stone</t>
  </si>
  <si>
    <t>Countertop stone including cutting, edge moulding &amp; installation</t>
  </si>
  <si>
    <t>Electrical work</t>
  </si>
  <si>
    <t>Wiring, pop wiring, switches, modular plates etc.</t>
  </si>
  <si>
    <t>Sub Total excluding GST (C)</t>
  </si>
  <si>
    <t>Total Project Cost (A+B+C) excluding GST</t>
  </si>
  <si>
    <t>Total Project Cost (A+B+C) including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</si>
</sst>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0.0%"/>
  </numFmts>
  <fonts count="21" x14ac:knownFonts="1">
    <font>
      <sz val="11"/>
      <color theme="1"/>
      <name val="Calibri"/>
      <family val="2"/>
      <scheme val="minor"/>
    </font>
    <font>
      <b/>
      <sz val="14"/>
      <color rgb="FFFFFFFF"/>
      <name val="Segoe UI"/>
    </font>
    <font>
      <b/>
      <sz val="15"/>
      <color rgb="FF1A1A1A"/>
      <name val="Segoe UI"/>
    </font>
    <font>
      <sz val="8.5"/>
      <color rgb="FF555555"/>
      <name val="Segoe UI"/>
    </font>
    <font>
      <b/>
      <sz val="9"/>
      <color rgb="FF1A1A1A"/>
      <name val="Segoe UI"/>
    </font>
    <font>
      <b/>
      <sz val="15"/>
      <color rgb="FF9E7D3B"/>
      <name val="Georgia"/>
    </font>
    <font>
      <i/>
      <sz val="8.5"/>
      <color rgb="FF555555"/>
      <name val="Segoe UI"/>
    </font>
    <font>
      <b/>
      <sz val="10"/>
      <color rgb="FF1A1A1A"/>
      <name val="Segoe UI"/>
    </font>
    <font>
      <sz val="9"/>
      <color rgb="FF1A1A1A"/>
      <name val="Segoe UI"/>
    </font>
    <font>
      <b/>
      <sz val="11"/>
      <color rgb="FFFFFFFF"/>
      <name val="Segoe UI"/>
    </font>
    <font>
      <b/>
      <sz val="9"/>
      <color rgb="FFFFFFFF"/>
      <name val="Segoe UI"/>
    </font>
    <font>
      <b/>
      <sz val="11"/>
      <color rgb="FF1A1A1A"/>
      <name val="Segoe UI"/>
    </font>
    <font>
      <b/>
      <sz val="8.5"/>
      <color rgb="FF9E7D3B"/>
      <name val="Segoe UI"/>
    </font>
    <font>
      <b/>
      <sz val="13"/>
      <color rgb="FF1A1A1A"/>
      <name val="Segoe UI"/>
    </font>
    <font>
      <i/>
      <sz val="9"/>
      <color rgb="FF555555"/>
      <name val="Segoe UI"/>
    </font>
    <font>
      <sz val="8.5"/>
      <color rgb="FF333333"/>
      <name val="Segoe UI"/>
    </font>
    <font>
      <b/>
      <sz val="9.5"/>
      <color rgb="FF1A1A1A"/>
      <name val="Segoe UI"/>
    </font>
    <font>
      <b/>
      <sz val="8.5"/>
      <color rgb="FF1B6A3B"/>
      <name val="Segoe UI"/>
    </font>
    <font>
      <b/>
      <sz val="13"/>
      <color rgb="FFFFFFFF"/>
      <name val="Segoe UI"/>
    </font>
    <font>
      <sz val="8"/>
      <color rgb="FF222222"/>
      <name val="Segoe UI"/>
    </font>
    <font>
      <b/>
      <sz val="9"/>
      <color rgb="FF9E7D3B"/>
      <name val="Segoe UI"/>
    </font>
  </fonts>
  <fills count="11">
    <fill>
      <patternFill patternType="none"/>
    </fill>
    <fill>
      <patternFill patternType="gray125"/>
    </fill>
    <fill>
      <patternFill patternType="solid">
        <fgColor rgb="FFC5A059"/>
        <bgColor rgb="FFC5A059"/>
      </patternFill>
    </fill>
    <fill>
      <patternFill patternType="solid">
        <fgColor rgb="FF111317"/>
        <bgColor rgb="FF111317"/>
      </patternFill>
    </fill>
    <fill>
      <patternFill patternType="solid">
        <fgColor rgb="FFF5EEDB"/>
        <bgColor rgb="FFF5EEDB"/>
      </patternFill>
    </fill>
    <fill>
      <patternFill patternType="solid">
        <fgColor rgb="FFEFE6D0"/>
        <bgColor rgb="FFEFE6D0"/>
      </patternFill>
    </fill>
    <fill>
      <patternFill patternType="solid">
        <fgColor rgb="FFFFFFFF"/>
        <bgColor rgb="FFFFFFFF"/>
      </patternFill>
    </fill>
    <fill>
      <patternFill patternType="solid">
        <fgColor rgb="FF8C7355"/>
        <bgColor rgb="FF8C7355"/>
      </patternFill>
    </fill>
    <fill>
      <patternFill patternType="solid">
        <fgColor rgb="FFFAF8F3"/>
        <bgColor rgb="FFFAF8F3"/>
      </patternFill>
    </fill>
    <fill>
      <patternFill patternType="solid">
        <fgColor rgb="FFEBD6A7"/>
        <bgColor rgb="FFEBD6A7"/>
      </patternFill>
    </fill>
    <fill>
      <patternFill patternType="solid">
        <fgColor rgb="FFFDFBF7"/>
        <bgColor rgb="FFFDFBF7"/>
      </patternFill>
    </fill>
  </fills>
  <borders count="5">
    <border>
      <left/>
      <right/>
      <top/>
      <bottom/>
      <diagonal/>
    </border>
    <border>
      <left style="thin">
        <color rgb="FFEFE7D8"/>
      </left>
      <right style="thin">
        <color rgb="FFEFE7D8"/>
      </right>
      <top style="thin">
        <color rgb="FFEFE7D8"/>
      </top>
      <bottom style="thin">
        <color rgb="FFEFE7D8"/>
      </bottom>
      <diagonal/>
    </border>
    <border>
      <left style="thin">
        <color rgb="FFD4AF37"/>
      </left>
      <right style="thin">
        <color rgb="FFD4AF37"/>
      </right>
      <top style="medium">
        <color rgb="FFD4AF37"/>
      </top>
      <bottom style="medium">
        <color rgb="FFD4AF37"/>
      </bottom>
      <diagonal/>
    </border>
    <border>
      <left style="medium">
        <color rgb="FFD4AF37"/>
      </left>
      <right style="medium">
        <color rgb="FFD4AF37"/>
      </right>
      <top style="medium">
        <color rgb="FFD4AF37"/>
      </top>
      <bottom style="double">
        <color rgb="FFD4AF37"/>
      </bottom>
      <diagonal/>
    </border>
    <border>
      <left style="thin">
        <color rgb="FFD4AF37"/>
      </left>
      <right style="thin">
        <color rgb="FFD4AF37"/>
      </right>
      <top style="thin">
        <color rgb="FFD4AF37"/>
      </top>
      <bottom style="medium">
        <color rgb="FFD4AF37"/>
      </bottom>
      <diagonal/>
    </border>
  </borders>
  <cellStyleXfs count="1">
    <xf numFmtId="0" fontId="0" fillId="0" borderId="0"/>
  </cellStyleXfs>
  <cellXfs count="82">
    <xf numFmtId="0" fontId="0" fillId="0" borderId="0" xfId="0"/>
    <xf numFmtId="0" fontId="0" fillId="2" borderId="0" xfId="0" applyFill="1"/>
    <xf numFmtId="0" fontId="4" fillId="5" borderId="1" xfId="0" applyFont="1" applyFill="1" applyBorder="1" applyAlignment="1">
      <alignment horizontal="left" vertical="center" wrapText="1" indent="1"/>
    </xf>
    <xf numFmtId="0" fontId="8" fillId="6" borderId="1" xfId="0" applyFont="1" applyFill="1" applyBorder="1" applyAlignment="1">
      <alignment horizontal="left" vertical="center" wrapText="1" indent="1"/>
    </xf>
    <xf numFmtId="0" fontId="8" fillId="6" borderId="1" xfId="0" applyFont="1" applyFill="1" applyBorder="1" applyAlignment="1">
      <alignment horizontal="right" vertical="center" indent="1"/>
    </xf>
    <xf numFmtId="0" fontId="8"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0" fillId="7" borderId="2" xfId="0" applyFont="1" applyFill="1" applyBorder="1" applyAlignment="1">
      <alignment horizontal="center" vertical="center"/>
    </xf>
    <xf numFmtId="0" fontId="10" fillId="7" borderId="2" xfId="0" applyFont="1" applyFill="1" applyBorder="1" applyAlignment="1">
      <alignment horizontal="left" vertical="center" wrapText="1" indent="1"/>
    </xf>
    <xf numFmtId="0" fontId="10" fillId="7" borderId="2" xfId="0" applyFont="1" applyFill="1" applyBorder="1" applyAlignment="1">
      <alignment horizontal="right" vertical="center" indent="1"/>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wrapText="1" indent="1"/>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164" fontId="11" fillId="9" borderId="3" xfId="0" applyNumberFormat="1" applyFont="1" applyFill="1" applyBorder="1" applyAlignment="1">
      <alignment horizontal="right" vertical="center" indent="1"/>
    </xf>
    <xf numFmtId="0" fontId="8" fillId="6" borderId="1" xfId="0" applyFont="1" applyFill="1" applyBorder="1" applyAlignment="1">
      <alignment horizontal="center" vertical="center"/>
    </xf>
    <xf numFmtId="164" fontId="8" fillId="6" borderId="1" xfId="0" applyNumberFormat="1" applyFont="1" applyFill="1" applyBorder="1" applyAlignment="1">
      <alignment horizontal="right" vertical="center" indent="1"/>
    </xf>
    <xf numFmtId="164" fontId="16" fillId="6" borderId="1" xfId="0" applyNumberFormat="1" applyFont="1" applyFill="1" applyBorder="1" applyAlignment="1">
      <alignment horizontal="right" vertical="center" indent="1"/>
    </xf>
    <xf numFmtId="0" fontId="8" fillId="8" borderId="1" xfId="0" applyFont="1" applyFill="1" applyBorder="1" applyAlignment="1">
      <alignment horizontal="center" vertical="center"/>
    </xf>
    <xf numFmtId="164" fontId="8" fillId="8" borderId="1" xfId="0" applyNumberFormat="1" applyFont="1" applyFill="1" applyBorder="1" applyAlignment="1">
      <alignment horizontal="right" vertical="center" indent="1"/>
    </xf>
    <xf numFmtId="164" fontId="16" fillId="8" borderId="1" xfId="0" applyNumberFormat="1" applyFont="1" applyFill="1" applyBorder="1" applyAlignment="1">
      <alignment horizontal="right" vertical="center" indent="1"/>
    </xf>
    <xf numFmtId="164" fontId="7" fillId="4" borderId="4" xfId="0" applyNumberFormat="1" applyFont="1" applyFill="1" applyBorder="1" applyAlignment="1">
      <alignment horizontal="right" vertical="center" indent="1"/>
    </xf>
    <xf numFmtId="164" fontId="18" fillId="7" borderId="3" xfId="0" applyNumberFormat="1" applyFont="1" applyFill="1" applyBorder="1" applyAlignment="1">
      <alignment horizontal="right" vertical="center" indent="1"/>
    </xf>
    <xf numFmtId="164" fontId="4" fillId="4" borderId="1" xfId="0" applyNumberFormat="1" applyFont="1" applyFill="1" applyBorder="1" applyAlignment="1">
      <alignment horizontal="right" vertical="center" indent="1"/>
    </xf>
    <xf numFmtId="9" fontId="4" fillId="6" borderId="1" xfId="0" applyNumberFormat="1" applyFont="1" applyFill="1" applyBorder="1" applyAlignment="1">
      <alignment horizontal="center" vertical="center"/>
    </xf>
    <xf numFmtId="9" fontId="7" fillId="4" borderId="4"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165" fontId="8" fillId="8" borderId="1" xfId="0" applyNumberFormat="1" applyFont="1" applyFill="1" applyBorder="1" applyAlignment="1">
      <alignment horizontal="center" vertical="center"/>
    </xf>
    <xf numFmtId="165" fontId="9" fillId="7" borderId="3" xfId="0" applyNumberFormat="1" applyFont="1" applyFill="1" applyBorder="1" applyAlignment="1">
      <alignment horizontal="center" vertical="center"/>
    </xf>
    <xf numFmtId="0" fontId="9" fillId="7" borderId="3" xfId="0" applyFont="1" applyFill="1" applyBorder="1" applyAlignment="1">
      <alignment horizontal="center" vertical="center"/>
    </xf>
    <xf numFmtId="0" fontId="8" fillId="4" borderId="1" xfId="0" applyFont="1" applyFill="1" applyBorder="1" applyAlignment="1">
      <alignment horizontal="center" vertical="center"/>
    </xf>
    <xf numFmtId="0" fontId="4" fillId="9" borderId="3" xfId="0" applyFont="1" applyFill="1" applyBorder="1" applyAlignment="1">
      <alignment horizontal="center" vertical="center"/>
    </xf>
    <xf numFmtId="0" fontId="15" fillId="0" borderId="0" xfId="0" applyFont="1" applyAlignment="1">
      <alignment horizontal="left" vertical="center" wrapText="1" indent="1"/>
    </xf>
    <xf numFmtId="0" fontId="0" fillId="0" borderId="0" xfId="0"/>
    <xf numFmtId="0" fontId="7" fillId="4" borderId="4" xfId="0" applyFont="1" applyFill="1" applyBorder="1" applyAlignment="1">
      <alignment horizontal="right" vertical="center" indent="1"/>
    </xf>
    <xf numFmtId="0" fontId="10" fillId="7" borderId="2" xfId="0" applyFont="1" applyFill="1" applyBorder="1" applyAlignment="1">
      <alignment horizontal="left" vertical="center" wrapText="1" indent="1"/>
    </xf>
    <xf numFmtId="0" fontId="6" fillId="0" borderId="0" xfId="0" applyFont="1" applyAlignment="1">
      <alignment horizontal="right" vertical="center" wrapText="1"/>
    </xf>
    <xf numFmtId="0" fontId="4" fillId="6" borderId="1" xfId="0" applyFont="1" applyFill="1" applyBorder="1" applyAlignment="1">
      <alignment horizontal="center" vertical="center" wrapText="1"/>
    </xf>
    <xf numFmtId="0" fontId="13" fillId="0" borderId="0" xfId="0" applyFont="1" applyAlignment="1">
      <alignment horizontal="left" vertical="center" wrapText="1" indent="1"/>
    </xf>
    <xf numFmtId="164" fontId="4" fillId="8" borderId="1" xfId="0" applyNumberFormat="1" applyFont="1" applyFill="1" applyBorder="1" applyAlignment="1">
      <alignment horizontal="right" vertical="center" indent="1"/>
    </xf>
    <xf numFmtId="0" fontId="4" fillId="8" borderId="1" xfId="0" applyFont="1" applyFill="1" applyBorder="1" applyAlignment="1">
      <alignment horizontal="right" vertical="center" indent="1"/>
    </xf>
    <xf numFmtId="164" fontId="16" fillId="8" borderId="1" xfId="0" applyNumberFormat="1" applyFont="1" applyFill="1" applyBorder="1" applyAlignment="1">
      <alignment horizontal="right" vertical="center" indent="1"/>
    </xf>
    <xf numFmtId="0" fontId="16" fillId="8" borderId="1" xfId="0" applyFont="1" applyFill="1" applyBorder="1" applyAlignment="1">
      <alignment horizontal="right" vertical="center" indent="1"/>
    </xf>
    <xf numFmtId="0" fontId="8" fillId="6" borderId="1" xfId="0" applyFont="1" applyFill="1" applyBorder="1" applyAlignment="1">
      <alignment horizontal="left" vertical="center" wrapText="1" indent="1"/>
    </xf>
    <xf numFmtId="0" fontId="19" fillId="0" borderId="0" xfId="0" applyFont="1" applyAlignment="1">
      <alignment horizontal="left" vertical="top" wrapText="1" indent="1"/>
    </xf>
    <xf numFmtId="0" fontId="9" fillId="7" borderId="3" xfId="0" applyFont="1" applyFill="1" applyBorder="1" applyAlignment="1">
      <alignment horizontal="left" vertical="center" wrapText="1" indent="1"/>
    </xf>
    <xf numFmtId="164" fontId="13" fillId="0" borderId="0" xfId="0" applyNumberFormat="1" applyFont="1" applyAlignment="1">
      <alignment horizontal="right" vertical="center" indent="1"/>
    </xf>
    <xf numFmtId="0" fontId="12" fillId="0" borderId="0" xfId="0" applyFont="1" applyAlignment="1">
      <alignment horizontal="left" vertical="center" wrapText="1" indent="1"/>
    </xf>
    <xf numFmtId="0" fontId="4" fillId="0" borderId="0" xfId="0" applyFont="1" applyAlignment="1">
      <alignment horizontal="left" vertical="center" wrapText="1" indent="1"/>
    </xf>
    <xf numFmtId="164" fontId="4" fillId="6" borderId="1" xfId="0" applyNumberFormat="1" applyFont="1" applyFill="1" applyBorder="1" applyAlignment="1">
      <alignment horizontal="right" vertical="center" indent="1"/>
    </xf>
    <xf numFmtId="0" fontId="4" fillId="6" borderId="1" xfId="0" applyFont="1" applyFill="1" applyBorder="1" applyAlignment="1">
      <alignment horizontal="right" vertical="center" indent="1"/>
    </xf>
    <xf numFmtId="0" fontId="4" fillId="6" borderId="1" xfId="0" applyFont="1" applyFill="1" applyBorder="1" applyAlignment="1">
      <alignment horizontal="left" vertical="center" wrapText="1" indent="1"/>
    </xf>
    <xf numFmtId="0" fontId="14" fillId="0" borderId="0" xfId="0" applyFont="1" applyAlignment="1">
      <alignment horizontal="left" vertical="center" wrapText="1" indent="1"/>
    </xf>
    <xf numFmtId="0" fontId="7" fillId="4" borderId="0" xfId="0" applyFont="1" applyFill="1" applyAlignment="1">
      <alignment horizontal="right" vertical="center" indent="1"/>
    </xf>
    <xf numFmtId="164" fontId="4" fillId="4" borderId="1" xfId="0" applyNumberFormat="1" applyFont="1" applyFill="1" applyBorder="1" applyAlignment="1">
      <alignment horizontal="right" vertical="center" indent="1"/>
    </xf>
    <xf numFmtId="0" fontId="4" fillId="4" borderId="1" xfId="0" applyFont="1" applyFill="1" applyBorder="1" applyAlignment="1">
      <alignment horizontal="right" vertical="center" indent="1"/>
    </xf>
    <xf numFmtId="0" fontId="4" fillId="5"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0" fontId="17" fillId="8" borderId="0" xfId="0" applyFont="1" applyFill="1" applyAlignment="1">
      <alignment horizontal="left" vertical="center" wrapText="1" indent="1"/>
    </xf>
    <xf numFmtId="0" fontId="6" fillId="0" borderId="0" xfId="0" applyFont="1" applyAlignment="1">
      <alignment horizontal="left" vertical="center" wrapText="1" indent="1"/>
    </xf>
    <xf numFmtId="164" fontId="16" fillId="6" borderId="1" xfId="0" applyNumberFormat="1" applyFont="1" applyFill="1" applyBorder="1" applyAlignment="1">
      <alignment horizontal="right" vertical="center" indent="1"/>
    </xf>
    <xf numFmtId="0" fontId="16" fillId="6" borderId="1" xfId="0" applyFont="1" applyFill="1" applyBorder="1" applyAlignment="1">
      <alignment horizontal="right" vertical="center" indent="1"/>
    </xf>
    <xf numFmtId="0" fontId="3" fillId="0" borderId="0" xfId="0" applyFont="1" applyAlignment="1">
      <alignment horizontal="left" vertical="center" wrapText="1" indent="1"/>
    </xf>
    <xf numFmtId="0" fontId="13" fillId="4" borderId="2" xfId="0" applyFont="1" applyFill="1" applyBorder="1" applyAlignment="1">
      <alignment horizontal="left" vertical="center" wrapText="1" indent="1"/>
    </xf>
    <xf numFmtId="0" fontId="2" fillId="0" borderId="0" xfId="0" applyFont="1" applyAlignment="1">
      <alignment horizontal="left" vertical="center" wrapText="1" indent="1"/>
    </xf>
    <xf numFmtId="0" fontId="1" fillId="3" borderId="0" xfId="0" applyFont="1" applyFill="1" applyAlignment="1">
      <alignment horizontal="center" vertical="center"/>
    </xf>
    <xf numFmtId="164" fontId="11" fillId="9" borderId="3" xfId="0" applyNumberFormat="1" applyFont="1" applyFill="1" applyBorder="1" applyAlignment="1">
      <alignment horizontal="right" vertical="center" indent="1"/>
    </xf>
    <xf numFmtId="0" fontId="11" fillId="9" borderId="3" xfId="0" applyFont="1" applyFill="1" applyBorder="1" applyAlignment="1">
      <alignment horizontal="right" vertical="center" indent="1"/>
    </xf>
    <xf numFmtId="0" fontId="7" fillId="9" borderId="3" xfId="0" applyFont="1" applyFill="1" applyBorder="1" applyAlignment="1">
      <alignment horizontal="right" vertical="center" indent="1"/>
    </xf>
    <xf numFmtId="0" fontId="16" fillId="4" borderId="2" xfId="0" applyFont="1" applyFill="1" applyBorder="1" applyAlignment="1">
      <alignment horizontal="left" vertical="center" wrapText="1" indent="1"/>
    </xf>
    <xf numFmtId="0" fontId="10" fillId="7" borderId="2" xfId="0" applyFont="1" applyFill="1" applyBorder="1" applyAlignment="1">
      <alignment horizontal="right" vertical="center" indent="1"/>
    </xf>
    <xf numFmtId="164" fontId="7" fillId="4" borderId="4" xfId="0" applyNumberFormat="1" applyFont="1" applyFill="1" applyBorder="1" applyAlignment="1">
      <alignment horizontal="right" vertical="center" indent="1"/>
    </xf>
    <xf numFmtId="0" fontId="5" fillId="0" borderId="0" xfId="0" applyFont="1" applyAlignment="1">
      <alignment horizontal="right" vertical="center"/>
    </xf>
    <xf numFmtId="164" fontId="18" fillId="7" borderId="3" xfId="0" applyNumberFormat="1" applyFont="1" applyFill="1" applyBorder="1" applyAlignment="1">
      <alignment horizontal="right" vertical="center" indent="1"/>
    </xf>
    <xf numFmtId="0" fontId="18" fillId="7" borderId="3" xfId="0" applyFont="1" applyFill="1" applyBorder="1" applyAlignment="1">
      <alignment horizontal="right" vertical="center" indent="1"/>
    </xf>
    <xf numFmtId="0" fontId="9" fillId="7" borderId="2" xfId="0" applyFont="1" applyFill="1" applyBorder="1" applyAlignment="1">
      <alignment horizontal="center" vertical="center"/>
    </xf>
    <xf numFmtId="0" fontId="20" fillId="10" borderId="0" xfId="0" applyFont="1" applyFill="1" applyAlignment="1">
      <alignment horizontal="center" vertical="center"/>
    </xf>
    <xf numFmtId="0" fontId="7" fillId="4" borderId="0" xfId="0" applyFont="1" applyFill="1" applyAlignment="1">
      <alignment horizontal="left" vertical="center" wrapText="1" indent="1"/>
    </xf>
    <xf numFmtId="0" fontId="4" fillId="5" borderId="1" xfId="0" applyFont="1" applyFill="1" applyBorder="1" applyAlignment="1">
      <alignment horizontal="center" vertical="center"/>
    </xf>
    <xf numFmtId="0" fontId="9" fillId="7" borderId="3" xfId="0" applyFont="1" applyFill="1" applyBorder="1" applyAlignment="1">
      <alignment horizontal="right" vertical="center" indent="1"/>
    </xf>
    <xf numFmtId="0" fontId="9" fillId="7" borderId="2" xfId="0" applyFont="1" applyFill="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0</xdr:col>
      <xdr:colOff>0</xdr:colOff>
      <xdr:row>31</xdr:row>
      <xdr:rowOff>0</xdr:rowOff>
    </xdr:from>
    <xdr:ext cx="2286000" cy="19526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66</xdr:row>
      <xdr:rowOff>0</xdr:rowOff>
    </xdr:from>
    <xdr:ext cx="2095500" cy="26670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3</xdr:col>
      <xdr:colOff>0</xdr:colOff>
      <xdr:row>66</xdr:row>
      <xdr:rowOff>0</xdr:rowOff>
    </xdr:from>
    <xdr:ext cx="209550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101</xdr:row>
      <xdr:rowOff>0</xdr:rowOff>
    </xdr:from>
    <xdr:ext cx="2381250" cy="2857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126</xdr:row>
      <xdr:rowOff>0</xdr:rowOff>
    </xdr:from>
    <xdr:ext cx="2095500" cy="26670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3</xdr:col>
      <xdr:colOff>0</xdr:colOff>
      <xdr:row>126</xdr:row>
      <xdr:rowOff>0</xdr:rowOff>
    </xdr:from>
    <xdr:ext cx="2095500" cy="2857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160</xdr:row>
      <xdr:rowOff>0</xdr:rowOff>
    </xdr:from>
    <xdr:ext cx="2286000" cy="3238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189</xdr:row>
      <xdr:rowOff>0</xdr:rowOff>
    </xdr:from>
    <xdr:ext cx="2286000" cy="290512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80"/>
  <sheetViews>
    <sheetView tabSelected="1" workbookViewId="0"/>
  </sheetViews>
  <sheetFormatPr defaultRowHeight="14.4" x14ac:dyDescent="0.3"/>
  <cols>
    <col min="1" max="1" width="20" customWidth="1"/>
    <col min="2" max="2" width="36" customWidth="1"/>
    <col min="3" max="4" width="7" customWidth="1"/>
    <col min="5" max="5" width="12" customWidth="1"/>
    <col min="6" max="6" width="15" customWidth="1"/>
  </cols>
  <sheetData>
    <row r="1" spans="1:6" ht="4.05" customHeight="1" x14ac:dyDescent="0.3">
      <c r="A1" s="1"/>
      <c r="B1" s="1"/>
      <c r="C1" s="1"/>
      <c r="D1" s="1"/>
      <c r="E1" s="1"/>
      <c r="F1" s="1"/>
    </row>
    <row r="2" spans="1:6" ht="24" customHeight="1" x14ac:dyDescent="0.3">
      <c r="A2" s="66" t="s">
        <v>0</v>
      </c>
      <c r="B2" s="66"/>
      <c r="C2" s="66"/>
      <c r="D2" s="66"/>
      <c r="E2" s="66"/>
      <c r="F2" s="66"/>
    </row>
    <row r="3" spans="1:6" ht="18" customHeight="1" x14ac:dyDescent="0.3">
      <c r="A3" s="65" t="s">
        <v>1</v>
      </c>
      <c r="B3" s="34"/>
      <c r="C3" s="34"/>
      <c r="D3" s="73" t="s">
        <v>1</v>
      </c>
      <c r="E3" s="34"/>
      <c r="F3" s="34"/>
    </row>
    <row r="4" spans="1:6" ht="13.05" customHeight="1" x14ac:dyDescent="0.3">
      <c r="A4" s="63" t="s">
        <v>2</v>
      </c>
      <c r="B4" s="34"/>
      <c r="C4" s="34"/>
      <c r="D4" s="34"/>
      <c r="E4" s="34"/>
      <c r="F4" s="34"/>
    </row>
    <row r="5" spans="1:6" ht="13.05" customHeight="1" x14ac:dyDescent="0.3">
      <c r="A5" s="63" t="s">
        <v>3</v>
      </c>
      <c r="B5" s="34"/>
      <c r="C5" s="34"/>
      <c r="D5" s="37" t="s">
        <v>4</v>
      </c>
      <c r="E5" s="34"/>
      <c r="F5" s="34"/>
    </row>
    <row r="6" spans="1:6" ht="13.05" customHeight="1" x14ac:dyDescent="0.3">
      <c r="A6" s="63" t="s">
        <v>5</v>
      </c>
      <c r="B6" s="34"/>
      <c r="C6" s="34"/>
      <c r="D6" s="34"/>
      <c r="E6" s="34"/>
      <c r="F6" s="34"/>
    </row>
    <row r="7" spans="1:6" ht="13.95" customHeight="1" x14ac:dyDescent="0.3">
      <c r="A7" s="49" t="s">
        <v>6</v>
      </c>
      <c r="B7" s="34"/>
      <c r="C7" s="34"/>
    </row>
    <row r="8" spans="1:6" ht="1.95" customHeight="1" x14ac:dyDescent="0.3">
      <c r="A8" s="1"/>
      <c r="B8" s="1"/>
      <c r="C8" s="1"/>
      <c r="D8" s="1"/>
      <c r="E8" s="1"/>
      <c r="F8" s="1"/>
    </row>
    <row r="9" spans="1:6" ht="19.95" customHeight="1" x14ac:dyDescent="0.3">
      <c r="A9" s="78" t="s">
        <v>7</v>
      </c>
      <c r="B9" s="78"/>
      <c r="C9" s="78"/>
      <c r="D9" s="54" t="s">
        <v>8</v>
      </c>
      <c r="E9" s="54"/>
      <c r="F9" s="54"/>
    </row>
    <row r="10" spans="1:6" ht="18" customHeight="1" x14ac:dyDescent="0.3">
      <c r="A10" s="2" t="s">
        <v>9</v>
      </c>
      <c r="B10" s="44" t="s">
        <v>10</v>
      </c>
      <c r="C10" s="44"/>
      <c r="D10" s="57" t="s">
        <v>11</v>
      </c>
      <c r="E10" s="57"/>
      <c r="F10" s="4" t="s">
        <v>12</v>
      </c>
    </row>
    <row r="11" spans="1:6" ht="22.05" customHeight="1" x14ac:dyDescent="0.3">
      <c r="A11" s="2" t="s">
        <v>13</v>
      </c>
      <c r="B11" s="44" t="s">
        <v>14</v>
      </c>
      <c r="C11" s="44"/>
      <c r="D11" s="57" t="s">
        <v>15</v>
      </c>
      <c r="E11" s="57"/>
      <c r="F11" s="5" t="s">
        <v>16</v>
      </c>
    </row>
    <row r="12" spans="1:6" ht="22.05" customHeight="1" x14ac:dyDescent="0.3">
      <c r="A12" s="2" t="s">
        <v>17</v>
      </c>
      <c r="B12" s="44" t="s">
        <v>18</v>
      </c>
      <c r="C12" s="44"/>
      <c r="D12" s="57" t="s">
        <v>19</v>
      </c>
      <c r="E12" s="57"/>
      <c r="F12" s="6" t="s">
        <v>20</v>
      </c>
    </row>
    <row r="13" spans="1:6" ht="10.050000000000001" customHeight="1" x14ac:dyDescent="0.3"/>
    <row r="14" spans="1:6" ht="19.95" customHeight="1" x14ac:dyDescent="0.3">
      <c r="A14" s="76" t="s">
        <v>21</v>
      </c>
      <c r="B14" s="76"/>
      <c r="C14" s="76"/>
      <c r="D14" s="76"/>
      <c r="E14" s="76"/>
      <c r="F14" s="76"/>
    </row>
    <row r="15" spans="1:6" ht="18" customHeight="1" x14ac:dyDescent="0.3">
      <c r="A15" s="7" t="s">
        <v>22</v>
      </c>
      <c r="B15" s="8" t="s">
        <v>23</v>
      </c>
      <c r="C15" s="36" t="s">
        <v>24</v>
      </c>
      <c r="D15" s="36"/>
      <c r="E15" s="71" t="s">
        <v>25</v>
      </c>
      <c r="F15" s="71"/>
    </row>
    <row r="16" spans="1:6" ht="18" customHeight="1" x14ac:dyDescent="0.3">
      <c r="A16" s="10" t="s">
        <v>26</v>
      </c>
      <c r="B16" s="11" t="s">
        <v>27</v>
      </c>
      <c r="C16" s="44" t="s">
        <v>28</v>
      </c>
      <c r="D16" s="44"/>
      <c r="E16" s="50">
        <f>F50+F61</f>
        <v>547600</v>
      </c>
      <c r="F16" s="51"/>
    </row>
    <row r="17" spans="1:6" ht="18" customHeight="1" x14ac:dyDescent="0.3">
      <c r="A17" s="12" t="s">
        <v>29</v>
      </c>
      <c r="B17" s="13" t="s">
        <v>30</v>
      </c>
      <c r="C17" s="58" t="s">
        <v>31</v>
      </c>
      <c r="D17" s="58"/>
      <c r="E17" s="40">
        <f>F96</f>
        <v>377550</v>
      </c>
      <c r="F17" s="41"/>
    </row>
    <row r="18" spans="1:6" ht="18" customHeight="1" x14ac:dyDescent="0.3">
      <c r="A18" s="10" t="s">
        <v>32</v>
      </c>
      <c r="B18" s="11" t="s">
        <v>33</v>
      </c>
      <c r="C18" s="44" t="s">
        <v>34</v>
      </c>
      <c r="D18" s="44"/>
      <c r="E18" s="50">
        <f>F121</f>
        <v>142700</v>
      </c>
      <c r="F18" s="51"/>
    </row>
    <row r="19" spans="1:6" ht="18" customHeight="1" x14ac:dyDescent="0.3">
      <c r="A19" s="12" t="s">
        <v>35</v>
      </c>
      <c r="B19" s="13" t="s">
        <v>36</v>
      </c>
      <c r="C19" s="58" t="s">
        <v>37</v>
      </c>
      <c r="D19" s="58"/>
      <c r="E19" s="40">
        <f>F155</f>
        <v>381600</v>
      </c>
      <c r="F19" s="41"/>
    </row>
    <row r="20" spans="1:6" ht="18" customHeight="1" x14ac:dyDescent="0.3">
      <c r="A20" s="10" t="s">
        <v>38</v>
      </c>
      <c r="B20" s="11" t="s">
        <v>39</v>
      </c>
      <c r="C20" s="44" t="s">
        <v>40</v>
      </c>
      <c r="D20" s="44"/>
      <c r="E20" s="50">
        <f>F184</f>
        <v>313988</v>
      </c>
      <c r="F20" s="51"/>
    </row>
    <row r="21" spans="1:6" ht="18" customHeight="1" x14ac:dyDescent="0.3">
      <c r="A21" s="12" t="s">
        <v>41</v>
      </c>
      <c r="B21" s="13" t="s">
        <v>42</v>
      </c>
      <c r="C21" s="58" t="s">
        <v>40</v>
      </c>
      <c r="D21" s="58"/>
      <c r="E21" s="40">
        <f>F211</f>
        <v>313900</v>
      </c>
      <c r="F21" s="41"/>
    </row>
    <row r="22" spans="1:6" ht="18" customHeight="1" x14ac:dyDescent="0.3">
      <c r="A22" s="10" t="s">
        <v>43</v>
      </c>
      <c r="B22" s="11" t="s">
        <v>44</v>
      </c>
      <c r="C22" s="44" t="s">
        <v>45</v>
      </c>
      <c r="D22" s="44"/>
      <c r="E22" s="50">
        <f>F219+F232+F240</f>
        <v>145975</v>
      </c>
      <c r="F22" s="51"/>
    </row>
    <row r="23" spans="1:6" ht="18" customHeight="1" x14ac:dyDescent="0.3">
      <c r="A23" s="12" t="s">
        <v>46</v>
      </c>
      <c r="B23" s="13" t="s">
        <v>47</v>
      </c>
      <c r="C23" s="58" t="s">
        <v>48</v>
      </c>
      <c r="D23" s="58"/>
      <c r="E23" s="40">
        <f>F250+F266</f>
        <v>390120</v>
      </c>
      <c r="F23" s="41"/>
    </row>
    <row r="24" spans="1:6" ht="18" customHeight="1" x14ac:dyDescent="0.3">
      <c r="A24" s="10" t="s">
        <v>49</v>
      </c>
      <c r="B24" s="11" t="s">
        <v>50</v>
      </c>
      <c r="C24" s="44" t="s">
        <v>51</v>
      </c>
      <c r="D24" s="44"/>
      <c r="E24" s="50">
        <f>F274+F282+F290</f>
        <v>188700</v>
      </c>
      <c r="F24" s="51"/>
    </row>
    <row r="25" spans="1:6" ht="18" customHeight="1" x14ac:dyDescent="0.3">
      <c r="A25" s="12" t="s">
        <v>52</v>
      </c>
      <c r="B25" s="13" t="s">
        <v>53</v>
      </c>
      <c r="C25" s="58" t="s">
        <v>54</v>
      </c>
      <c r="D25" s="58"/>
      <c r="E25" s="40">
        <f>F303+F311+F324</f>
        <v>120000</v>
      </c>
      <c r="F25" s="41"/>
    </row>
    <row r="26" spans="1:6" ht="22.05" customHeight="1" x14ac:dyDescent="0.3">
      <c r="A26" s="69" t="s">
        <v>55</v>
      </c>
      <c r="B26" s="69"/>
      <c r="C26" s="69"/>
      <c r="D26" s="69"/>
      <c r="E26" s="67">
        <f>E352</f>
        <v>3448117</v>
      </c>
      <c r="F26" s="68"/>
    </row>
    <row r="27" spans="1:6" ht="18" customHeight="1" x14ac:dyDescent="0.3">
      <c r="A27" s="60" t="s">
        <v>56</v>
      </c>
      <c r="B27" s="34"/>
      <c r="C27" s="34"/>
      <c r="D27" s="34"/>
      <c r="E27" s="34"/>
      <c r="F27" s="34"/>
    </row>
    <row r="28" spans="1:6" ht="13.05" customHeight="1" x14ac:dyDescent="0.3">
      <c r="A28" s="48" t="s">
        <v>57</v>
      </c>
      <c r="B28" s="34"/>
      <c r="C28" s="34"/>
    </row>
    <row r="29" spans="1:6" ht="19.95" customHeight="1" x14ac:dyDescent="0.3">
      <c r="A29" s="39" t="s">
        <v>58</v>
      </c>
      <c r="B29" s="34"/>
      <c r="C29" s="34"/>
      <c r="D29" s="34"/>
      <c r="E29" s="47">
        <f>F50+F61</f>
        <v>547600</v>
      </c>
      <c r="F29" s="34"/>
    </row>
    <row r="30" spans="1:6" ht="13.05" customHeight="1" x14ac:dyDescent="0.3">
      <c r="A30" s="53" t="s">
        <v>59</v>
      </c>
      <c r="B30" s="34"/>
      <c r="C30" s="34"/>
      <c r="D30" s="34"/>
      <c r="E30" s="34"/>
      <c r="F30" s="34"/>
    </row>
    <row r="31" spans="1:6" ht="1.95" customHeight="1" x14ac:dyDescent="0.3">
      <c r="A31" s="1"/>
      <c r="B31" s="1"/>
      <c r="C31" s="1"/>
      <c r="D31" s="1"/>
      <c r="E31" s="1"/>
      <c r="F31" s="1"/>
    </row>
    <row r="32" spans="1:6" ht="18" customHeight="1" x14ac:dyDescent="0.3">
      <c r="D32" s="49" t="s">
        <v>60</v>
      </c>
      <c r="E32" s="34"/>
      <c r="F32" s="34"/>
    </row>
    <row r="33" spans="1:6" ht="18" customHeight="1" x14ac:dyDescent="0.3">
      <c r="D33" s="33" t="s">
        <v>61</v>
      </c>
      <c r="E33" s="34"/>
      <c r="F33" s="34"/>
    </row>
    <row r="34" spans="1:6" ht="18" customHeight="1" x14ac:dyDescent="0.3">
      <c r="D34" s="33" t="s">
        <v>62</v>
      </c>
      <c r="E34" s="34"/>
      <c r="F34" s="34"/>
    </row>
    <row r="35" spans="1:6" ht="18" customHeight="1" x14ac:dyDescent="0.3">
      <c r="D35" s="33" t="s">
        <v>63</v>
      </c>
      <c r="E35" s="34"/>
      <c r="F35" s="34"/>
    </row>
    <row r="36" spans="1:6" ht="18" customHeight="1" x14ac:dyDescent="0.3">
      <c r="D36" s="33" t="s">
        <v>64</v>
      </c>
      <c r="E36" s="34"/>
      <c r="F36" s="34"/>
    </row>
    <row r="37" spans="1:6" ht="18" customHeight="1" x14ac:dyDescent="0.3">
      <c r="D37" s="33" t="s">
        <v>65</v>
      </c>
      <c r="E37" s="34"/>
      <c r="F37" s="34"/>
    </row>
    <row r="38" spans="1:6" ht="18" customHeight="1" x14ac:dyDescent="0.3">
      <c r="D38" s="33" t="s">
        <v>66</v>
      </c>
      <c r="E38" s="34"/>
      <c r="F38" s="34"/>
    </row>
    <row r="39" spans="1:6" ht="18" customHeight="1" x14ac:dyDescent="0.3"/>
    <row r="40" spans="1:6" ht="18" customHeight="1" x14ac:dyDescent="0.3"/>
    <row r="41" spans="1:6" ht="18" customHeight="1" x14ac:dyDescent="0.3"/>
    <row r="42" spans="1:6" ht="18" customHeight="1" x14ac:dyDescent="0.3"/>
    <row r="43" spans="1:6" ht="18" customHeight="1" x14ac:dyDescent="0.3"/>
    <row r="44" spans="1:6" ht="18" customHeight="1" x14ac:dyDescent="0.3">
      <c r="A44" s="8" t="s">
        <v>67</v>
      </c>
      <c r="B44" s="8" t="s">
        <v>68</v>
      </c>
      <c r="C44" s="7" t="s">
        <v>69</v>
      </c>
      <c r="D44" s="7" t="s">
        <v>70</v>
      </c>
      <c r="E44" s="9" t="s">
        <v>71</v>
      </c>
      <c r="F44" s="9" t="s">
        <v>72</v>
      </c>
    </row>
    <row r="45" spans="1:6" ht="22.95" customHeight="1" x14ac:dyDescent="0.3">
      <c r="A45" s="11" t="s">
        <v>73</v>
      </c>
      <c r="B45" s="3" t="s">
        <v>74</v>
      </c>
      <c r="C45" s="16">
        <v>72</v>
      </c>
      <c r="D45" s="16" t="s">
        <v>75</v>
      </c>
      <c r="E45" s="17">
        <v>2300</v>
      </c>
      <c r="F45" s="18">
        <f>C45*E45</f>
        <v>165600</v>
      </c>
    </row>
    <row r="46" spans="1:6" ht="22.95" customHeight="1" x14ac:dyDescent="0.3">
      <c r="A46" s="13" t="s">
        <v>76</v>
      </c>
      <c r="B46" s="14" t="s">
        <v>77</v>
      </c>
      <c r="C46" s="19">
        <v>48</v>
      </c>
      <c r="D46" s="19" t="s">
        <v>75</v>
      </c>
      <c r="E46" s="20">
        <v>2150</v>
      </c>
      <c r="F46" s="21">
        <f>C46*E46</f>
        <v>103200</v>
      </c>
    </row>
    <row r="47" spans="1:6" ht="22.95" customHeight="1" x14ac:dyDescent="0.3">
      <c r="A47" s="11" t="s">
        <v>78</v>
      </c>
      <c r="B47" s="3" t="s">
        <v>79</v>
      </c>
      <c r="C47" s="16">
        <v>48</v>
      </c>
      <c r="D47" s="16" t="s">
        <v>75</v>
      </c>
      <c r="E47" s="17">
        <v>1450</v>
      </c>
      <c r="F47" s="18">
        <f>C47*E47</f>
        <v>69600</v>
      </c>
    </row>
    <row r="48" spans="1:6" ht="22.95" customHeight="1" x14ac:dyDescent="0.3">
      <c r="A48" s="13" t="s">
        <v>80</v>
      </c>
      <c r="B48" s="14" t="s">
        <v>81</v>
      </c>
      <c r="C48" s="19">
        <v>1</v>
      </c>
      <c r="D48" s="19" t="s">
        <v>82</v>
      </c>
      <c r="E48" s="20">
        <v>42000</v>
      </c>
      <c r="F48" s="21">
        <f>C48*E48</f>
        <v>42000</v>
      </c>
    </row>
    <row r="49" spans="1:6" ht="22.95" customHeight="1" x14ac:dyDescent="0.3">
      <c r="A49" s="11" t="s">
        <v>83</v>
      </c>
      <c r="B49" s="3" t="s">
        <v>84</v>
      </c>
      <c r="C49" s="16">
        <v>54</v>
      </c>
      <c r="D49" s="16" t="s">
        <v>75</v>
      </c>
      <c r="E49" s="17">
        <v>2200</v>
      </c>
      <c r="F49" s="18">
        <f>C49*E49</f>
        <v>118800</v>
      </c>
    </row>
    <row r="50" spans="1:6" ht="19.05" customHeight="1" x14ac:dyDescent="0.3">
      <c r="A50" s="35" t="s">
        <v>85</v>
      </c>
      <c r="B50" s="35"/>
      <c r="C50" s="35"/>
      <c r="D50" s="35"/>
      <c r="E50" s="35"/>
      <c r="F50" s="22">
        <f>SUM(F45:F49)</f>
        <v>499200</v>
      </c>
    </row>
    <row r="51" spans="1:6" ht="4.05" customHeight="1" x14ac:dyDescent="0.3"/>
    <row r="52" spans="1:6" ht="16.05" customHeight="1" x14ac:dyDescent="0.3">
      <c r="A52" s="49" t="s">
        <v>86</v>
      </c>
      <c r="B52" s="34"/>
      <c r="C52" s="34"/>
      <c r="D52" s="34"/>
      <c r="E52" s="34"/>
      <c r="F52" s="34"/>
    </row>
    <row r="53" spans="1:6" ht="18" customHeight="1" x14ac:dyDescent="0.3">
      <c r="A53" s="8" t="s">
        <v>67</v>
      </c>
      <c r="B53" s="8" t="s">
        <v>68</v>
      </c>
      <c r="C53" s="7" t="s">
        <v>69</v>
      </c>
      <c r="D53" s="7" t="s">
        <v>70</v>
      </c>
      <c r="E53" s="9" t="s">
        <v>71</v>
      </c>
      <c r="F53" s="9" t="s">
        <v>72</v>
      </c>
    </row>
    <row r="54" spans="1:6" ht="22.95" customHeight="1" x14ac:dyDescent="0.3">
      <c r="A54" s="11" t="s">
        <v>87</v>
      </c>
      <c r="B54" s="3" t="s">
        <v>88</v>
      </c>
      <c r="C54" s="16">
        <v>1</v>
      </c>
      <c r="D54" s="16" t="s">
        <v>89</v>
      </c>
      <c r="E54" s="17">
        <v>18500</v>
      </c>
      <c r="F54" s="18">
        <f>C54*E54</f>
        <v>18500</v>
      </c>
    </row>
    <row r="55" spans="1:6" ht="22.95" customHeight="1" x14ac:dyDescent="0.3">
      <c r="A55" s="13" t="s">
        <v>90</v>
      </c>
      <c r="B55" s="14" t="s">
        <v>91</v>
      </c>
      <c r="C55" s="19">
        <v>1</v>
      </c>
      <c r="D55" s="19" t="s">
        <v>89</v>
      </c>
      <c r="E55" s="20">
        <v>12500</v>
      </c>
      <c r="F55" s="21">
        <f>C55*E55</f>
        <v>12500</v>
      </c>
    </row>
    <row r="56" spans="1:6" ht="22.95" customHeight="1" x14ac:dyDescent="0.3">
      <c r="A56" s="11" t="s">
        <v>92</v>
      </c>
      <c r="B56" s="3" t="s">
        <v>93</v>
      </c>
      <c r="C56" s="16">
        <v>2</v>
      </c>
      <c r="D56" s="16" t="s">
        <v>94</v>
      </c>
      <c r="E56" s="17">
        <v>1750</v>
      </c>
      <c r="F56" s="18">
        <v>3500</v>
      </c>
    </row>
    <row r="57" spans="1:6" ht="22.95" customHeight="1" x14ac:dyDescent="0.3">
      <c r="A57" s="13" t="s">
        <v>95</v>
      </c>
      <c r="B57" s="14" t="s">
        <v>96</v>
      </c>
      <c r="C57" s="19">
        <v>4</v>
      </c>
      <c r="D57" s="19" t="s">
        <v>94</v>
      </c>
      <c r="E57" s="20">
        <v>725</v>
      </c>
      <c r="F57" s="21">
        <v>2900</v>
      </c>
    </row>
    <row r="58" spans="1:6" ht="22.95" customHeight="1" x14ac:dyDescent="0.3">
      <c r="A58" s="11" t="s">
        <v>97</v>
      </c>
      <c r="B58" s="3" t="s">
        <v>98</v>
      </c>
      <c r="C58" s="16">
        <v>1</v>
      </c>
      <c r="D58" s="16" t="s">
        <v>99</v>
      </c>
      <c r="E58" s="17">
        <v>3500</v>
      </c>
      <c r="F58" s="18">
        <f>C58*E58</f>
        <v>3500</v>
      </c>
    </row>
    <row r="59" spans="1:6" ht="22.95" customHeight="1" x14ac:dyDescent="0.3">
      <c r="A59" s="13" t="s">
        <v>100</v>
      </c>
      <c r="B59" s="14" t="s">
        <v>101</v>
      </c>
      <c r="C59" s="19">
        <v>1</v>
      </c>
      <c r="D59" s="19" t="s">
        <v>99</v>
      </c>
      <c r="E59" s="20">
        <v>2500</v>
      </c>
      <c r="F59" s="21">
        <f>C59*E59</f>
        <v>2500</v>
      </c>
    </row>
    <row r="60" spans="1:6" ht="22.95" customHeight="1" x14ac:dyDescent="0.3">
      <c r="A60" s="11" t="s">
        <v>102</v>
      </c>
      <c r="B60" s="3" t="s">
        <v>103</v>
      </c>
      <c r="C60" s="16">
        <v>1</v>
      </c>
      <c r="D60" s="16" t="s">
        <v>99</v>
      </c>
      <c r="E60" s="17">
        <v>5000</v>
      </c>
      <c r="F60" s="18">
        <f>C60*E60</f>
        <v>5000</v>
      </c>
    </row>
    <row r="61" spans="1:6" ht="19.05" customHeight="1" x14ac:dyDescent="0.3">
      <c r="A61" s="35" t="s">
        <v>104</v>
      </c>
      <c r="B61" s="35"/>
      <c r="C61" s="35"/>
      <c r="D61" s="35"/>
      <c r="E61" s="35"/>
      <c r="F61" s="22">
        <f>SUM(F54:F60)</f>
        <v>48400</v>
      </c>
    </row>
    <row r="62" spans="1:6" ht="4.05" customHeight="1" x14ac:dyDescent="0.3"/>
    <row r="63" spans="1:6" ht="13.05" customHeight="1" x14ac:dyDescent="0.3">
      <c r="A63" s="48" t="s">
        <v>105</v>
      </c>
      <c r="B63" s="34"/>
      <c r="C63" s="34"/>
    </row>
    <row r="64" spans="1:6" ht="19.95" customHeight="1" x14ac:dyDescent="0.3">
      <c r="A64" s="39" t="s">
        <v>30</v>
      </c>
      <c r="B64" s="34"/>
      <c r="C64" s="34"/>
      <c r="D64" s="34"/>
      <c r="E64" s="47">
        <f>F96</f>
        <v>377550</v>
      </c>
      <c r="F64" s="34"/>
    </row>
    <row r="65" spans="1:6" ht="13.05" customHeight="1" x14ac:dyDescent="0.3">
      <c r="A65" s="53" t="s">
        <v>106</v>
      </c>
      <c r="B65" s="34"/>
      <c r="C65" s="34"/>
      <c r="D65" s="34"/>
      <c r="E65" s="34"/>
      <c r="F65" s="34"/>
    </row>
    <row r="66" spans="1:6" ht="1.95" customHeight="1" x14ac:dyDescent="0.3">
      <c r="A66" s="1"/>
      <c r="B66" s="1"/>
      <c r="C66" s="1"/>
      <c r="D66" s="1"/>
      <c r="E66" s="1"/>
      <c r="F66" s="1"/>
    </row>
    <row r="67" spans="1:6" ht="18" customHeight="1" x14ac:dyDescent="0.3"/>
    <row r="68" spans="1:6" ht="18" customHeight="1" x14ac:dyDescent="0.3"/>
    <row r="69" spans="1:6" ht="18" customHeight="1" x14ac:dyDescent="0.3"/>
    <row r="70" spans="1:6" ht="18" customHeight="1" x14ac:dyDescent="0.3"/>
    <row r="71" spans="1:6" ht="18" customHeight="1" x14ac:dyDescent="0.3"/>
    <row r="72" spans="1:6" ht="18" customHeight="1" x14ac:dyDescent="0.3"/>
    <row r="73" spans="1:6" ht="18" customHeight="1" x14ac:dyDescent="0.3"/>
    <row r="74" spans="1:6" ht="18" customHeight="1" x14ac:dyDescent="0.3"/>
    <row r="75" spans="1:6" ht="18" customHeight="1" x14ac:dyDescent="0.3"/>
    <row r="76" spans="1:6" ht="18" customHeight="1" x14ac:dyDescent="0.3"/>
    <row r="77" spans="1:6" ht="18" customHeight="1" x14ac:dyDescent="0.3"/>
    <row r="78" spans="1:6" ht="18" customHeight="1" x14ac:dyDescent="0.3"/>
    <row r="79" spans="1:6" ht="18" customHeight="1" x14ac:dyDescent="0.3"/>
    <row r="80" spans="1:6" ht="18" customHeight="1" x14ac:dyDescent="0.3"/>
    <row r="81" spans="1:6" ht="18" customHeight="1" x14ac:dyDescent="0.3"/>
    <row r="82" spans="1:6" ht="18" customHeight="1" x14ac:dyDescent="0.3"/>
    <row r="83" spans="1:6" ht="16.05" customHeight="1" x14ac:dyDescent="0.3">
      <c r="A83" s="49" t="s">
        <v>107</v>
      </c>
      <c r="B83" s="34"/>
      <c r="C83" s="34"/>
      <c r="D83" s="49" t="s">
        <v>108</v>
      </c>
      <c r="E83" s="34"/>
      <c r="F83" s="34"/>
    </row>
    <row r="84" spans="1:6" ht="16.05" customHeight="1" x14ac:dyDescent="0.3">
      <c r="A84" s="33" t="s">
        <v>109</v>
      </c>
      <c r="B84" s="34"/>
      <c r="C84" s="34"/>
      <c r="D84" s="33" t="s">
        <v>110</v>
      </c>
      <c r="E84" s="34"/>
      <c r="F84" s="34"/>
    </row>
    <row r="85" spans="1:6" ht="16.05" customHeight="1" x14ac:dyDescent="0.3">
      <c r="A85" s="33" t="s">
        <v>111</v>
      </c>
      <c r="B85" s="34"/>
      <c r="C85" s="34"/>
      <c r="D85" s="33" t="s">
        <v>112</v>
      </c>
      <c r="E85" s="34"/>
      <c r="F85" s="34"/>
    </row>
    <row r="86" spans="1:6" ht="16.05" customHeight="1" x14ac:dyDescent="0.3">
      <c r="A86" s="33" t="s">
        <v>113</v>
      </c>
      <c r="B86" s="34"/>
      <c r="C86" s="34"/>
      <c r="D86" s="33" t="s">
        <v>114</v>
      </c>
      <c r="E86" s="34"/>
      <c r="F86" s="34"/>
    </row>
    <row r="87" spans="1:6" ht="16.05" customHeight="1" x14ac:dyDescent="0.3">
      <c r="A87" s="33" t="s">
        <v>115</v>
      </c>
      <c r="B87" s="34"/>
      <c r="C87" s="34"/>
      <c r="D87" s="33" t="s">
        <v>116</v>
      </c>
      <c r="E87" s="34"/>
      <c r="F87" s="34"/>
    </row>
    <row r="88" spans="1:6" ht="16.05" customHeight="1" x14ac:dyDescent="0.3">
      <c r="A88" s="33" t="s">
        <v>117</v>
      </c>
      <c r="B88" s="34"/>
      <c r="C88" s="34"/>
    </row>
    <row r="90" spans="1:6" ht="18" customHeight="1" x14ac:dyDescent="0.3">
      <c r="A90" s="8" t="s">
        <v>67</v>
      </c>
      <c r="B90" s="8" t="s">
        <v>68</v>
      </c>
      <c r="C90" s="7" t="s">
        <v>69</v>
      </c>
      <c r="D90" s="7" t="s">
        <v>70</v>
      </c>
      <c r="E90" s="9" t="s">
        <v>71</v>
      </c>
      <c r="F90" s="9" t="s">
        <v>72</v>
      </c>
    </row>
    <row r="91" spans="1:6" ht="22.95" customHeight="1" x14ac:dyDescent="0.3">
      <c r="A91" s="11" t="s">
        <v>118</v>
      </c>
      <c r="B91" s="3" t="s">
        <v>119</v>
      </c>
      <c r="C91" s="16">
        <v>16</v>
      </c>
      <c r="D91" s="16" t="s">
        <v>75</v>
      </c>
      <c r="E91" s="17">
        <v>1850</v>
      </c>
      <c r="F91" s="18">
        <f>C91*E91</f>
        <v>29600</v>
      </c>
    </row>
    <row r="92" spans="1:6" ht="22.95" customHeight="1" x14ac:dyDescent="0.3">
      <c r="A92" s="13" t="s">
        <v>120</v>
      </c>
      <c r="B92" s="14" t="s">
        <v>121</v>
      </c>
      <c r="C92" s="19">
        <v>56</v>
      </c>
      <c r="D92" s="19" t="s">
        <v>75</v>
      </c>
      <c r="E92" s="20">
        <v>1850</v>
      </c>
      <c r="F92" s="21">
        <f>C92*E92</f>
        <v>103600</v>
      </c>
    </row>
    <row r="93" spans="1:6" ht="22.95" customHeight="1" x14ac:dyDescent="0.3">
      <c r="A93" s="11" t="s">
        <v>122</v>
      </c>
      <c r="B93" s="3" t="s">
        <v>123</v>
      </c>
      <c r="C93" s="16">
        <v>45</v>
      </c>
      <c r="D93" s="16" t="s">
        <v>75</v>
      </c>
      <c r="E93" s="17">
        <v>1870</v>
      </c>
      <c r="F93" s="18">
        <f>C93*E93</f>
        <v>84150</v>
      </c>
    </row>
    <row r="94" spans="1:6" ht="18" customHeight="1" x14ac:dyDescent="0.3">
      <c r="A94" s="13" t="s">
        <v>124</v>
      </c>
      <c r="B94" s="14" t="s">
        <v>125</v>
      </c>
      <c r="C94" s="19">
        <v>54</v>
      </c>
      <c r="D94" s="19" t="s">
        <v>75</v>
      </c>
      <c r="E94" s="20">
        <v>1300</v>
      </c>
      <c r="F94" s="21">
        <f>C94*E94</f>
        <v>70200</v>
      </c>
    </row>
    <row r="95" spans="1:6" ht="22.95" customHeight="1" x14ac:dyDescent="0.3">
      <c r="A95" s="11" t="s">
        <v>126</v>
      </c>
      <c r="B95" s="3" t="s">
        <v>127</v>
      </c>
      <c r="C95" s="16">
        <v>1</v>
      </c>
      <c r="D95" s="16" t="s">
        <v>70</v>
      </c>
      <c r="E95" s="17">
        <v>90000</v>
      </c>
      <c r="F95" s="18">
        <f>C95*E95</f>
        <v>90000</v>
      </c>
    </row>
    <row r="96" spans="1:6" ht="19.05" customHeight="1" x14ac:dyDescent="0.3">
      <c r="A96" s="35" t="s">
        <v>128</v>
      </c>
      <c r="B96" s="35"/>
      <c r="C96" s="35"/>
      <c r="D96" s="35"/>
      <c r="E96" s="35"/>
      <c r="F96" s="22">
        <f>SUM(F91:F95)</f>
        <v>377550</v>
      </c>
    </row>
    <row r="97" spans="1:6" ht="4.05" customHeight="1" x14ac:dyDescent="0.3"/>
    <row r="98" spans="1:6" ht="13.05" customHeight="1" x14ac:dyDescent="0.3">
      <c r="A98" s="48" t="s">
        <v>129</v>
      </c>
      <c r="B98" s="34"/>
      <c r="C98" s="34"/>
    </row>
    <row r="99" spans="1:6" ht="19.95" customHeight="1" x14ac:dyDescent="0.3">
      <c r="A99" s="39" t="s">
        <v>33</v>
      </c>
      <c r="B99" s="34"/>
      <c r="C99" s="34"/>
      <c r="D99" s="34"/>
      <c r="E99" s="47">
        <f>F121</f>
        <v>142700</v>
      </c>
      <c r="F99" s="34"/>
    </row>
    <row r="100" spans="1:6" ht="13.05" customHeight="1" x14ac:dyDescent="0.3">
      <c r="A100" s="53" t="s">
        <v>130</v>
      </c>
      <c r="B100" s="34"/>
      <c r="C100" s="34"/>
      <c r="D100" s="34"/>
      <c r="E100" s="34"/>
      <c r="F100" s="34"/>
    </row>
    <row r="101" spans="1:6" ht="1.95" customHeight="1" x14ac:dyDescent="0.3">
      <c r="A101" s="1"/>
      <c r="B101" s="1"/>
      <c r="C101" s="1"/>
      <c r="D101" s="1"/>
      <c r="E101" s="1"/>
      <c r="F101" s="1"/>
    </row>
    <row r="102" spans="1:6" ht="19.95" customHeight="1" x14ac:dyDescent="0.3">
      <c r="D102" s="49" t="s">
        <v>131</v>
      </c>
      <c r="E102" s="34"/>
      <c r="F102" s="34"/>
    </row>
    <row r="103" spans="1:6" ht="19.95" customHeight="1" x14ac:dyDescent="0.3">
      <c r="D103" s="33" t="s">
        <v>132</v>
      </c>
      <c r="E103" s="34"/>
      <c r="F103" s="34"/>
    </row>
    <row r="104" spans="1:6" ht="19.95" customHeight="1" x14ac:dyDescent="0.3">
      <c r="D104" s="33" t="s">
        <v>133</v>
      </c>
      <c r="E104" s="34"/>
      <c r="F104" s="34"/>
    </row>
    <row r="105" spans="1:6" ht="19.95" customHeight="1" x14ac:dyDescent="0.3">
      <c r="D105" s="33" t="s">
        <v>134</v>
      </c>
      <c r="E105" s="34"/>
      <c r="F105" s="34"/>
    </row>
    <row r="106" spans="1:6" ht="19.95" customHeight="1" x14ac:dyDescent="0.3">
      <c r="D106" s="33" t="s">
        <v>135</v>
      </c>
      <c r="E106" s="34"/>
      <c r="F106" s="34"/>
    </row>
    <row r="107" spans="1:6" ht="19.95" customHeight="1" x14ac:dyDescent="0.3">
      <c r="D107" s="33" t="s">
        <v>136</v>
      </c>
      <c r="E107" s="34"/>
      <c r="F107" s="34"/>
    </row>
    <row r="108" spans="1:6" ht="18" customHeight="1" x14ac:dyDescent="0.3"/>
    <row r="109" spans="1:6" ht="18" customHeight="1" x14ac:dyDescent="0.3"/>
    <row r="110" spans="1:6" ht="18" customHeight="1" x14ac:dyDescent="0.3"/>
    <row r="111" spans="1:6" ht="18" customHeight="1" x14ac:dyDescent="0.3"/>
    <row r="112" spans="1:6" ht="18" customHeight="1" x14ac:dyDescent="0.3"/>
    <row r="113" spans="1:6" ht="18" customHeight="1" x14ac:dyDescent="0.3"/>
    <row r="114" spans="1:6" ht="18" customHeight="1" x14ac:dyDescent="0.3"/>
    <row r="115" spans="1:6" ht="18" customHeight="1" x14ac:dyDescent="0.3"/>
    <row r="116" spans="1:6" ht="18" customHeight="1" x14ac:dyDescent="0.3"/>
    <row r="117" spans="1:6" ht="18" customHeight="1" x14ac:dyDescent="0.3"/>
    <row r="118" spans="1:6" ht="18" customHeight="1" x14ac:dyDescent="0.3"/>
    <row r="119" spans="1:6" ht="18" customHeight="1" x14ac:dyDescent="0.3">
      <c r="A119" s="8" t="s">
        <v>67</v>
      </c>
      <c r="B119" s="8" t="s">
        <v>68</v>
      </c>
      <c r="C119" s="7" t="s">
        <v>69</v>
      </c>
      <c r="D119" s="7" t="s">
        <v>70</v>
      </c>
      <c r="E119" s="9" t="s">
        <v>71</v>
      </c>
      <c r="F119" s="9" t="s">
        <v>72</v>
      </c>
    </row>
    <row r="120" spans="1:6" ht="22.95" customHeight="1" x14ac:dyDescent="0.3">
      <c r="A120" s="11" t="s">
        <v>137</v>
      </c>
      <c r="B120" s="3" t="s">
        <v>138</v>
      </c>
      <c r="C120" s="16">
        <v>1</v>
      </c>
      <c r="D120" s="16" t="s">
        <v>82</v>
      </c>
      <c r="E120" s="17">
        <v>142700</v>
      </c>
      <c r="F120" s="18">
        <f>C120*E120</f>
        <v>142700</v>
      </c>
    </row>
    <row r="121" spans="1:6" ht="19.05" customHeight="1" x14ac:dyDescent="0.3">
      <c r="A121" s="35" t="s">
        <v>139</v>
      </c>
      <c r="B121" s="35"/>
      <c r="C121" s="35"/>
      <c r="D121" s="35"/>
      <c r="E121" s="35"/>
      <c r="F121" s="22">
        <f>SUM(F120:F120)</f>
        <v>142700</v>
      </c>
    </row>
    <row r="122" spans="1:6" ht="4.05" customHeight="1" x14ac:dyDescent="0.3"/>
    <row r="123" spans="1:6" ht="13.05" customHeight="1" x14ac:dyDescent="0.3">
      <c r="A123" s="48" t="s">
        <v>140</v>
      </c>
      <c r="B123" s="34"/>
      <c r="C123" s="34"/>
    </row>
    <row r="124" spans="1:6" ht="19.95" customHeight="1" x14ac:dyDescent="0.3">
      <c r="A124" s="39" t="s">
        <v>36</v>
      </c>
      <c r="B124" s="34"/>
      <c r="C124" s="34"/>
      <c r="D124" s="34"/>
      <c r="E124" s="47">
        <f>F155</f>
        <v>381600</v>
      </c>
      <c r="F124" s="34"/>
    </row>
    <row r="125" spans="1:6" ht="13.05" customHeight="1" x14ac:dyDescent="0.3">
      <c r="A125" s="53" t="s">
        <v>141</v>
      </c>
      <c r="B125" s="34"/>
      <c r="C125" s="34"/>
      <c r="D125" s="34"/>
      <c r="E125" s="34"/>
      <c r="F125" s="34"/>
    </row>
    <row r="126" spans="1:6" ht="1.95" customHeight="1" x14ac:dyDescent="0.3">
      <c r="A126" s="1"/>
      <c r="B126" s="1"/>
      <c r="C126" s="1"/>
      <c r="D126" s="1"/>
      <c r="E126" s="1"/>
      <c r="F126" s="1"/>
    </row>
    <row r="127" spans="1:6" ht="18" customHeight="1" x14ac:dyDescent="0.3"/>
    <row r="128" spans="1:6" ht="18" customHeight="1" x14ac:dyDescent="0.3"/>
    <row r="129" spans="1:6" ht="18" customHeight="1" x14ac:dyDescent="0.3"/>
    <row r="130" spans="1:6" ht="18" customHeight="1" x14ac:dyDescent="0.3"/>
    <row r="131" spans="1:6" ht="18" customHeight="1" x14ac:dyDescent="0.3"/>
    <row r="132" spans="1:6" ht="18" customHeight="1" x14ac:dyDescent="0.3"/>
    <row r="133" spans="1:6" ht="18" customHeight="1" x14ac:dyDescent="0.3"/>
    <row r="134" spans="1:6" ht="18" customHeight="1" x14ac:dyDescent="0.3"/>
    <row r="135" spans="1:6" ht="18" customHeight="1" x14ac:dyDescent="0.3"/>
    <row r="136" spans="1:6" ht="18" customHeight="1" x14ac:dyDescent="0.3"/>
    <row r="137" spans="1:6" ht="18" customHeight="1" x14ac:dyDescent="0.3"/>
    <row r="138" spans="1:6" ht="18" customHeight="1" x14ac:dyDescent="0.3"/>
    <row r="139" spans="1:6" ht="18" customHeight="1" x14ac:dyDescent="0.3"/>
    <row r="140" spans="1:6" ht="18" customHeight="1" x14ac:dyDescent="0.3"/>
    <row r="141" spans="1:6" ht="18" customHeight="1" x14ac:dyDescent="0.3"/>
    <row r="142" spans="1:6" ht="18" customHeight="1" x14ac:dyDescent="0.3"/>
    <row r="143" spans="1:6" ht="18" customHeight="1" x14ac:dyDescent="0.3"/>
    <row r="144" spans="1:6" ht="16.05" customHeight="1" x14ac:dyDescent="0.3">
      <c r="A144" s="49" t="s">
        <v>142</v>
      </c>
      <c r="B144" s="34"/>
      <c r="C144" s="34"/>
      <c r="D144" s="49" t="s">
        <v>143</v>
      </c>
      <c r="E144" s="34"/>
      <c r="F144" s="34"/>
    </row>
    <row r="145" spans="1:6" ht="16.05" customHeight="1" x14ac:dyDescent="0.3">
      <c r="A145" s="33" t="s">
        <v>144</v>
      </c>
      <c r="B145" s="34"/>
      <c r="C145" s="34"/>
      <c r="D145" s="49" t="s">
        <v>145</v>
      </c>
      <c r="E145" s="34"/>
      <c r="F145" s="34"/>
    </row>
    <row r="146" spans="1:6" ht="16.05" customHeight="1" x14ac:dyDescent="0.3">
      <c r="A146" s="33" t="s">
        <v>146</v>
      </c>
      <c r="B146" s="34"/>
      <c r="C146" s="34"/>
      <c r="D146" s="33" t="s">
        <v>147</v>
      </c>
      <c r="E146" s="34"/>
      <c r="F146" s="34"/>
    </row>
    <row r="147" spans="1:6" ht="16.05" customHeight="1" x14ac:dyDescent="0.3">
      <c r="A147" s="33" t="s">
        <v>148</v>
      </c>
      <c r="B147" s="34"/>
      <c r="C147" s="34"/>
      <c r="D147" s="49" t="s">
        <v>149</v>
      </c>
      <c r="E147" s="34"/>
      <c r="F147" s="34"/>
    </row>
    <row r="148" spans="1:6" ht="16.05" customHeight="1" x14ac:dyDescent="0.3">
      <c r="A148" s="33" t="s">
        <v>150</v>
      </c>
      <c r="B148" s="34"/>
      <c r="C148" s="34"/>
      <c r="D148" s="33" t="s">
        <v>151</v>
      </c>
      <c r="E148" s="34"/>
      <c r="F148" s="34"/>
    </row>
    <row r="149" spans="1:6" ht="16.05" customHeight="1" x14ac:dyDescent="0.3">
      <c r="A149" s="33" t="s">
        <v>152</v>
      </c>
      <c r="B149" s="34"/>
      <c r="C149" s="34"/>
      <c r="D149" s="33" t="s">
        <v>153</v>
      </c>
      <c r="E149" s="34"/>
      <c r="F149" s="34"/>
    </row>
    <row r="150" spans="1:6" ht="16.05" customHeight="1" x14ac:dyDescent="0.3">
      <c r="A150" s="33" t="s">
        <v>154</v>
      </c>
      <c r="B150" s="34"/>
      <c r="C150" s="34"/>
    </row>
    <row r="152" spans="1:6" ht="18" customHeight="1" x14ac:dyDescent="0.3">
      <c r="A152" s="8" t="s">
        <v>67</v>
      </c>
      <c r="B152" s="8" t="s">
        <v>68</v>
      </c>
      <c r="C152" s="7" t="s">
        <v>69</v>
      </c>
      <c r="D152" s="7" t="s">
        <v>70</v>
      </c>
      <c r="E152" s="9" t="s">
        <v>71</v>
      </c>
      <c r="F152" s="9" t="s">
        <v>72</v>
      </c>
    </row>
    <row r="153" spans="1:6" ht="22.95" customHeight="1" x14ac:dyDescent="0.3">
      <c r="A153" s="11" t="s">
        <v>155</v>
      </c>
      <c r="B153" s="3" t="s">
        <v>156</v>
      </c>
      <c r="C153" s="16">
        <v>108</v>
      </c>
      <c r="D153" s="16" t="s">
        <v>75</v>
      </c>
      <c r="E153" s="17">
        <v>2350</v>
      </c>
      <c r="F153" s="18">
        <f>C153*E153</f>
        <v>253800</v>
      </c>
    </row>
    <row r="154" spans="1:6" ht="22.95" customHeight="1" x14ac:dyDescent="0.3">
      <c r="A154" s="13" t="s">
        <v>157</v>
      </c>
      <c r="B154" s="14" t="s">
        <v>158</v>
      </c>
      <c r="C154" s="19">
        <v>1</v>
      </c>
      <c r="D154" s="19" t="s">
        <v>70</v>
      </c>
      <c r="E154" s="20">
        <v>127800</v>
      </c>
      <c r="F154" s="21">
        <f>C154*E154</f>
        <v>127800</v>
      </c>
    </row>
    <row r="155" spans="1:6" ht="19.05" customHeight="1" x14ac:dyDescent="0.3">
      <c r="A155" s="35" t="s">
        <v>159</v>
      </c>
      <c r="B155" s="35"/>
      <c r="C155" s="35"/>
      <c r="D155" s="35"/>
      <c r="E155" s="35"/>
      <c r="F155" s="22">
        <f>SUM(F153:F154)</f>
        <v>381600</v>
      </c>
    </row>
    <row r="156" spans="1:6" ht="4.05" customHeight="1" x14ac:dyDescent="0.3"/>
    <row r="157" spans="1:6" ht="13.05" customHeight="1" x14ac:dyDescent="0.3">
      <c r="A157" s="48" t="s">
        <v>160</v>
      </c>
      <c r="B157" s="34"/>
      <c r="C157" s="34"/>
    </row>
    <row r="158" spans="1:6" ht="19.95" customHeight="1" x14ac:dyDescent="0.3">
      <c r="A158" s="39" t="s">
        <v>39</v>
      </c>
      <c r="B158" s="34"/>
      <c r="C158" s="34"/>
      <c r="D158" s="34"/>
      <c r="E158" s="47">
        <f>F184</f>
        <v>313988</v>
      </c>
      <c r="F158" s="34"/>
    </row>
    <row r="159" spans="1:6" ht="13.05" customHeight="1" x14ac:dyDescent="0.3">
      <c r="A159" s="53" t="s">
        <v>161</v>
      </c>
      <c r="B159" s="34"/>
      <c r="C159" s="34"/>
      <c r="D159" s="34"/>
      <c r="E159" s="34"/>
      <c r="F159" s="34"/>
    </row>
    <row r="160" spans="1:6" ht="1.95" customHeight="1" x14ac:dyDescent="0.3">
      <c r="A160" s="1"/>
      <c r="B160" s="1"/>
      <c r="C160" s="1"/>
      <c r="D160" s="1"/>
      <c r="E160" s="1"/>
      <c r="F160" s="1"/>
    </row>
    <row r="161" spans="4:6" ht="19.95" customHeight="1" x14ac:dyDescent="0.3">
      <c r="D161" s="49" t="s">
        <v>162</v>
      </c>
      <c r="E161" s="34"/>
      <c r="F161" s="34"/>
    </row>
    <row r="162" spans="4:6" ht="19.95" customHeight="1" x14ac:dyDescent="0.3">
      <c r="D162" s="33" t="s">
        <v>163</v>
      </c>
      <c r="E162" s="34"/>
      <c r="F162" s="34"/>
    </row>
    <row r="163" spans="4:6" ht="19.95" customHeight="1" x14ac:dyDescent="0.3">
      <c r="D163" s="33" t="s">
        <v>164</v>
      </c>
      <c r="E163" s="34"/>
      <c r="F163" s="34"/>
    </row>
    <row r="164" spans="4:6" ht="19.95" customHeight="1" x14ac:dyDescent="0.3">
      <c r="D164" s="33" t="s">
        <v>165</v>
      </c>
      <c r="E164" s="34"/>
      <c r="F164" s="34"/>
    </row>
    <row r="165" spans="4:6" ht="19.95" customHeight="1" x14ac:dyDescent="0.3">
      <c r="D165" s="33" t="s">
        <v>166</v>
      </c>
      <c r="E165" s="34"/>
      <c r="F165" s="34"/>
    </row>
    <row r="166" spans="4:6" ht="19.95" customHeight="1" x14ac:dyDescent="0.3">
      <c r="D166" s="33" t="s">
        <v>167</v>
      </c>
      <c r="E166" s="34"/>
      <c r="F166" s="34"/>
    </row>
    <row r="167" spans="4:6" ht="18" customHeight="1" x14ac:dyDescent="0.3"/>
    <row r="168" spans="4:6" ht="18" customHeight="1" x14ac:dyDescent="0.3"/>
    <row r="169" spans="4:6" ht="18" customHeight="1" x14ac:dyDescent="0.3"/>
    <row r="170" spans="4:6" ht="18" customHeight="1" x14ac:dyDescent="0.3"/>
    <row r="171" spans="4:6" ht="18" customHeight="1" x14ac:dyDescent="0.3"/>
    <row r="172" spans="4:6" ht="18" customHeight="1" x14ac:dyDescent="0.3"/>
    <row r="173" spans="4:6" ht="18" customHeight="1" x14ac:dyDescent="0.3"/>
    <row r="174" spans="4:6" ht="18" customHeight="1" x14ac:dyDescent="0.3"/>
    <row r="175" spans="4:6" ht="18" customHeight="1" x14ac:dyDescent="0.3"/>
    <row r="176" spans="4:6" ht="18" customHeight="1" x14ac:dyDescent="0.3"/>
    <row r="177" spans="1:6" ht="18" customHeight="1" x14ac:dyDescent="0.3"/>
    <row r="178" spans="1:6" ht="18" customHeight="1" x14ac:dyDescent="0.3"/>
    <row r="179" spans="1:6" ht="18" customHeight="1" x14ac:dyDescent="0.3"/>
    <row r="180" spans="1:6" ht="18" customHeight="1" x14ac:dyDescent="0.3">
      <c r="A180" s="8" t="s">
        <v>67</v>
      </c>
      <c r="B180" s="8" t="s">
        <v>68</v>
      </c>
      <c r="C180" s="7" t="s">
        <v>69</v>
      </c>
      <c r="D180" s="7" t="s">
        <v>70</v>
      </c>
      <c r="E180" s="9" t="s">
        <v>71</v>
      </c>
      <c r="F180" s="9" t="s">
        <v>72</v>
      </c>
    </row>
    <row r="181" spans="1:6" ht="22.95" customHeight="1" x14ac:dyDescent="0.3">
      <c r="A181" s="11" t="s">
        <v>168</v>
      </c>
      <c r="B181" s="3" t="s">
        <v>169</v>
      </c>
      <c r="C181" s="16">
        <v>77</v>
      </c>
      <c r="D181" s="16" t="s">
        <v>75</v>
      </c>
      <c r="E181" s="17">
        <v>2100</v>
      </c>
      <c r="F181" s="18">
        <f>C181*E181</f>
        <v>161700</v>
      </c>
    </row>
    <row r="182" spans="1:6" ht="22.95" customHeight="1" x14ac:dyDescent="0.3">
      <c r="A182" s="13" t="s">
        <v>78</v>
      </c>
      <c r="B182" s="14" t="s">
        <v>170</v>
      </c>
      <c r="C182" s="19">
        <v>22</v>
      </c>
      <c r="D182" s="19" t="s">
        <v>75</v>
      </c>
      <c r="E182" s="20">
        <v>1450</v>
      </c>
      <c r="F182" s="21">
        <f>C182*E182</f>
        <v>31900</v>
      </c>
    </row>
    <row r="183" spans="1:6" ht="22.95" customHeight="1" x14ac:dyDescent="0.3">
      <c r="A183" s="11" t="s">
        <v>171</v>
      </c>
      <c r="B183" s="3" t="s">
        <v>172</v>
      </c>
      <c r="C183" s="16">
        <v>1</v>
      </c>
      <c r="D183" s="16" t="s">
        <v>70</v>
      </c>
      <c r="E183" s="17">
        <v>120388</v>
      </c>
      <c r="F183" s="18">
        <f>C183*E183</f>
        <v>120388</v>
      </c>
    </row>
    <row r="184" spans="1:6" ht="19.05" customHeight="1" x14ac:dyDescent="0.3">
      <c r="A184" s="35" t="s">
        <v>173</v>
      </c>
      <c r="B184" s="35"/>
      <c r="C184" s="35"/>
      <c r="D184" s="35"/>
      <c r="E184" s="35"/>
      <c r="F184" s="22">
        <f>SUM(F181:F183)</f>
        <v>313988</v>
      </c>
    </row>
    <row r="185" spans="1:6" ht="4.05" customHeight="1" x14ac:dyDescent="0.3"/>
    <row r="186" spans="1:6" ht="13.05" customHeight="1" x14ac:dyDescent="0.3">
      <c r="A186" s="48" t="s">
        <v>174</v>
      </c>
      <c r="B186" s="34"/>
      <c r="C186" s="34"/>
    </row>
    <row r="187" spans="1:6" ht="19.95" customHeight="1" x14ac:dyDescent="0.3">
      <c r="A187" s="39" t="s">
        <v>42</v>
      </c>
      <c r="B187" s="34"/>
      <c r="C187" s="34"/>
      <c r="D187" s="34"/>
      <c r="E187" s="47">
        <f>F211</f>
        <v>313900</v>
      </c>
      <c r="F187" s="34"/>
    </row>
    <row r="188" spans="1:6" ht="13.05" customHeight="1" x14ac:dyDescent="0.3">
      <c r="A188" s="53" t="s">
        <v>161</v>
      </c>
      <c r="B188" s="34"/>
      <c r="C188" s="34"/>
      <c r="D188" s="34"/>
      <c r="E188" s="34"/>
      <c r="F188" s="34"/>
    </row>
    <row r="189" spans="1:6" ht="1.95" customHeight="1" x14ac:dyDescent="0.3">
      <c r="A189" s="1"/>
      <c r="B189" s="1"/>
      <c r="C189" s="1"/>
      <c r="D189" s="1"/>
      <c r="E189" s="1"/>
      <c r="F189" s="1"/>
    </row>
    <row r="190" spans="1:6" ht="19.95" customHeight="1" x14ac:dyDescent="0.3">
      <c r="D190" s="49" t="s">
        <v>175</v>
      </c>
      <c r="E190" s="34"/>
      <c r="F190" s="34"/>
    </row>
    <row r="191" spans="1:6" ht="19.95" customHeight="1" x14ac:dyDescent="0.3">
      <c r="D191" s="33" t="s">
        <v>163</v>
      </c>
      <c r="E191" s="34"/>
      <c r="F191" s="34"/>
    </row>
    <row r="192" spans="1:6" ht="19.95" customHeight="1" x14ac:dyDescent="0.3">
      <c r="D192" s="33" t="s">
        <v>176</v>
      </c>
      <c r="E192" s="34"/>
      <c r="F192" s="34"/>
    </row>
    <row r="193" spans="1:6" ht="19.95" customHeight="1" x14ac:dyDescent="0.3">
      <c r="D193" s="33" t="s">
        <v>165</v>
      </c>
      <c r="E193" s="34"/>
      <c r="F193" s="34"/>
    </row>
    <row r="194" spans="1:6" ht="19.95" customHeight="1" x14ac:dyDescent="0.3">
      <c r="D194" s="33" t="s">
        <v>166</v>
      </c>
      <c r="E194" s="34"/>
      <c r="F194" s="34"/>
    </row>
    <row r="195" spans="1:6" ht="19.95" customHeight="1" x14ac:dyDescent="0.3">
      <c r="D195" s="33" t="s">
        <v>167</v>
      </c>
      <c r="E195" s="34"/>
      <c r="F195" s="34"/>
    </row>
    <row r="196" spans="1:6" ht="19.95" customHeight="1" x14ac:dyDescent="0.3">
      <c r="D196" s="33" t="s">
        <v>66</v>
      </c>
      <c r="E196" s="34"/>
      <c r="F196" s="34"/>
    </row>
    <row r="197" spans="1:6" ht="18" customHeight="1" x14ac:dyDescent="0.3"/>
    <row r="198" spans="1:6" ht="18" customHeight="1" x14ac:dyDescent="0.3"/>
    <row r="199" spans="1:6" ht="18" customHeight="1" x14ac:dyDescent="0.3"/>
    <row r="200" spans="1:6" ht="18" customHeight="1" x14ac:dyDescent="0.3"/>
    <row r="201" spans="1:6" ht="18" customHeight="1" x14ac:dyDescent="0.3"/>
    <row r="202" spans="1:6" ht="18" customHeight="1" x14ac:dyDescent="0.3"/>
    <row r="203" spans="1:6" ht="18" customHeight="1" x14ac:dyDescent="0.3"/>
    <row r="204" spans="1:6" ht="18" customHeight="1" x14ac:dyDescent="0.3"/>
    <row r="205" spans="1:6" ht="18" customHeight="1" x14ac:dyDescent="0.3"/>
    <row r="206" spans="1:6" ht="18" customHeight="1" x14ac:dyDescent="0.3"/>
    <row r="207" spans="1:6" ht="18" customHeight="1" x14ac:dyDescent="0.3">
      <c r="A207" s="8" t="s">
        <v>67</v>
      </c>
      <c r="B207" s="8" t="s">
        <v>68</v>
      </c>
      <c r="C207" s="7" t="s">
        <v>69</v>
      </c>
      <c r="D207" s="7" t="s">
        <v>70</v>
      </c>
      <c r="E207" s="9" t="s">
        <v>71</v>
      </c>
      <c r="F207" s="9" t="s">
        <v>72</v>
      </c>
    </row>
    <row r="208" spans="1:6" ht="22.95" customHeight="1" x14ac:dyDescent="0.3">
      <c r="A208" s="11" t="s">
        <v>168</v>
      </c>
      <c r="B208" s="3" t="s">
        <v>169</v>
      </c>
      <c r="C208" s="16">
        <v>77</v>
      </c>
      <c r="D208" s="16" t="s">
        <v>75</v>
      </c>
      <c r="E208" s="17">
        <v>2100</v>
      </c>
      <c r="F208" s="18">
        <f>C208*E208</f>
        <v>161700</v>
      </c>
    </row>
    <row r="209" spans="1:6" ht="22.95" customHeight="1" x14ac:dyDescent="0.3">
      <c r="A209" s="13" t="s">
        <v>78</v>
      </c>
      <c r="B209" s="14" t="s">
        <v>170</v>
      </c>
      <c r="C209" s="19">
        <v>22</v>
      </c>
      <c r="D209" s="19" t="s">
        <v>75</v>
      </c>
      <c r="E209" s="20">
        <v>1450</v>
      </c>
      <c r="F209" s="21">
        <f>C209*E209</f>
        <v>31900</v>
      </c>
    </row>
    <row r="210" spans="1:6" ht="22.95" customHeight="1" x14ac:dyDescent="0.3">
      <c r="A210" s="11" t="s">
        <v>171</v>
      </c>
      <c r="B210" s="3" t="s">
        <v>172</v>
      </c>
      <c r="C210" s="16">
        <v>1</v>
      </c>
      <c r="D210" s="16" t="s">
        <v>70</v>
      </c>
      <c r="E210" s="17">
        <v>120300</v>
      </c>
      <c r="F210" s="18">
        <f>C210*E210</f>
        <v>120300</v>
      </c>
    </row>
    <row r="211" spans="1:6" ht="19.05" customHeight="1" x14ac:dyDescent="0.3">
      <c r="A211" s="35" t="s">
        <v>177</v>
      </c>
      <c r="B211" s="35"/>
      <c r="C211" s="35"/>
      <c r="D211" s="35"/>
      <c r="E211" s="35"/>
      <c r="F211" s="22">
        <f>SUM(F208:F210)</f>
        <v>313900</v>
      </c>
    </row>
    <row r="212" spans="1:6" ht="4.05" customHeight="1" x14ac:dyDescent="0.3"/>
    <row r="213" spans="1:6" ht="13.05" customHeight="1" x14ac:dyDescent="0.3">
      <c r="A213" s="48" t="s">
        <v>178</v>
      </c>
      <c r="B213" s="34"/>
      <c r="C213" s="34"/>
    </row>
    <row r="214" spans="1:6" ht="19.95" customHeight="1" x14ac:dyDescent="0.3">
      <c r="A214" s="39" t="s">
        <v>179</v>
      </c>
      <c r="B214" s="34"/>
      <c r="C214" s="34"/>
      <c r="D214" s="34"/>
      <c r="E214" s="47">
        <f>F219</f>
        <v>30525</v>
      </c>
      <c r="F214" s="34"/>
    </row>
    <row r="215" spans="1:6" ht="13.05" customHeight="1" x14ac:dyDescent="0.3">
      <c r="A215" s="53" t="s">
        <v>180</v>
      </c>
      <c r="B215" s="34"/>
      <c r="C215" s="34"/>
      <c r="D215" s="34"/>
      <c r="E215" s="34"/>
      <c r="F215" s="34"/>
    </row>
    <row r="216" spans="1:6" ht="1.95" customHeight="1" x14ac:dyDescent="0.3">
      <c r="A216" s="1"/>
      <c r="B216" s="1"/>
      <c r="C216" s="1"/>
      <c r="D216" s="1"/>
      <c r="E216" s="1"/>
      <c r="F216" s="1"/>
    </row>
    <row r="217" spans="1:6" ht="18" customHeight="1" x14ac:dyDescent="0.3">
      <c r="A217" s="8" t="s">
        <v>67</v>
      </c>
      <c r="B217" s="8" t="s">
        <v>68</v>
      </c>
      <c r="C217" s="7" t="s">
        <v>69</v>
      </c>
      <c r="D217" s="7" t="s">
        <v>70</v>
      </c>
      <c r="E217" s="9" t="s">
        <v>71</v>
      </c>
      <c r="F217" s="9" t="s">
        <v>72</v>
      </c>
    </row>
    <row r="218" spans="1:6" ht="22.95" customHeight="1" x14ac:dyDescent="0.3">
      <c r="A218" s="11" t="s">
        <v>181</v>
      </c>
      <c r="B218" s="3" t="s">
        <v>182</v>
      </c>
      <c r="C218" s="16">
        <v>1</v>
      </c>
      <c r="D218" s="16" t="s">
        <v>70</v>
      </c>
      <c r="E218" s="17">
        <v>30525</v>
      </c>
      <c r="F218" s="18">
        <f>C218*E218</f>
        <v>30525</v>
      </c>
    </row>
    <row r="219" spans="1:6" ht="19.05" customHeight="1" x14ac:dyDescent="0.3">
      <c r="A219" s="35" t="s">
        <v>183</v>
      </c>
      <c r="B219" s="35"/>
      <c r="C219" s="35"/>
      <c r="D219" s="35"/>
      <c r="E219" s="35"/>
      <c r="F219" s="22">
        <f>SUM(F218:F218)</f>
        <v>30525</v>
      </c>
    </row>
    <row r="220" spans="1:6" ht="4.05" customHeight="1" x14ac:dyDescent="0.3"/>
    <row r="221" spans="1:6" ht="13.05" customHeight="1" x14ac:dyDescent="0.3">
      <c r="A221" s="48" t="s">
        <v>184</v>
      </c>
      <c r="B221" s="34"/>
      <c r="C221" s="34"/>
    </row>
    <row r="222" spans="1:6" ht="19.95" customHeight="1" x14ac:dyDescent="0.3">
      <c r="A222" s="39" t="s">
        <v>185</v>
      </c>
      <c r="B222" s="34"/>
      <c r="C222" s="34"/>
      <c r="D222" s="34"/>
      <c r="E222" s="47">
        <f>F232</f>
        <v>66700</v>
      </c>
      <c r="F222" s="34"/>
    </row>
    <row r="223" spans="1:6" ht="13.05" customHeight="1" x14ac:dyDescent="0.3">
      <c r="A223" s="53" t="s">
        <v>186</v>
      </c>
      <c r="B223" s="34"/>
      <c r="C223" s="34"/>
      <c r="D223" s="34"/>
      <c r="E223" s="34"/>
      <c r="F223" s="34"/>
    </row>
    <row r="224" spans="1:6" ht="1.95" customHeight="1" x14ac:dyDescent="0.3">
      <c r="A224" s="1"/>
      <c r="B224" s="1"/>
      <c r="C224" s="1"/>
      <c r="D224" s="1"/>
      <c r="E224" s="1"/>
      <c r="F224" s="1"/>
    </row>
    <row r="225" spans="1:6" ht="18" customHeight="1" x14ac:dyDescent="0.3">
      <c r="A225" s="59" t="s">
        <v>187</v>
      </c>
      <c r="B225" s="34"/>
      <c r="C225" s="34"/>
      <c r="D225" s="34"/>
      <c r="E225" s="34"/>
      <c r="F225" s="34"/>
    </row>
    <row r="226" spans="1:6" ht="18" customHeight="1" x14ac:dyDescent="0.3">
      <c r="A226" s="59" t="s">
        <v>188</v>
      </c>
      <c r="B226" s="34"/>
      <c r="C226" s="34"/>
      <c r="D226" s="34"/>
      <c r="E226" s="34"/>
      <c r="F226" s="34"/>
    </row>
    <row r="227" spans="1:6" ht="18" customHeight="1" x14ac:dyDescent="0.3">
      <c r="A227" s="59" t="s">
        <v>189</v>
      </c>
      <c r="B227" s="34"/>
      <c r="C227" s="34"/>
      <c r="D227" s="34"/>
      <c r="E227" s="34"/>
      <c r="F227" s="34"/>
    </row>
    <row r="228" spans="1:6" ht="18" customHeight="1" x14ac:dyDescent="0.3">
      <c r="A228" s="59" t="s">
        <v>190</v>
      </c>
      <c r="B228" s="34"/>
      <c r="C228" s="34"/>
      <c r="D228" s="34"/>
      <c r="E228" s="34"/>
      <c r="F228" s="34"/>
    </row>
    <row r="230" spans="1:6" ht="18" customHeight="1" x14ac:dyDescent="0.3">
      <c r="A230" s="8" t="s">
        <v>67</v>
      </c>
      <c r="B230" s="8" t="s">
        <v>68</v>
      </c>
      <c r="C230" s="7" t="s">
        <v>69</v>
      </c>
      <c r="D230" s="7" t="s">
        <v>70</v>
      </c>
      <c r="E230" s="9" t="s">
        <v>71</v>
      </c>
      <c r="F230" s="9" t="s">
        <v>72</v>
      </c>
    </row>
    <row r="231" spans="1:6" ht="22.95" customHeight="1" x14ac:dyDescent="0.3">
      <c r="A231" s="11" t="s">
        <v>191</v>
      </c>
      <c r="B231" s="3" t="s">
        <v>192</v>
      </c>
      <c r="C231" s="16">
        <v>29</v>
      </c>
      <c r="D231" s="16" t="s">
        <v>75</v>
      </c>
      <c r="E231" s="17">
        <v>2300</v>
      </c>
      <c r="F231" s="18">
        <f>C231*E231</f>
        <v>66700</v>
      </c>
    </row>
    <row r="232" spans="1:6" ht="19.05" customHeight="1" x14ac:dyDescent="0.3">
      <c r="A232" s="35" t="s">
        <v>193</v>
      </c>
      <c r="B232" s="35"/>
      <c r="C232" s="35"/>
      <c r="D232" s="35"/>
      <c r="E232" s="35"/>
      <c r="F232" s="22">
        <f>SUM(F231:F231)</f>
        <v>66700</v>
      </c>
    </row>
    <row r="233" spans="1:6" ht="4.05" customHeight="1" x14ac:dyDescent="0.3"/>
    <row r="234" spans="1:6" ht="13.05" customHeight="1" x14ac:dyDescent="0.3">
      <c r="A234" s="48" t="s">
        <v>194</v>
      </c>
      <c r="B234" s="34"/>
      <c r="C234" s="34"/>
    </row>
    <row r="235" spans="1:6" ht="19.95" customHeight="1" x14ac:dyDescent="0.3">
      <c r="A235" s="39" t="s">
        <v>195</v>
      </c>
      <c r="B235" s="34"/>
      <c r="C235" s="34"/>
      <c r="D235" s="34"/>
      <c r="E235" s="47">
        <f>F240</f>
        <v>48750</v>
      </c>
      <c r="F235" s="34"/>
    </row>
    <row r="236" spans="1:6" ht="13.05" customHeight="1" x14ac:dyDescent="0.3">
      <c r="A236" s="53" t="s">
        <v>196</v>
      </c>
      <c r="B236" s="34"/>
      <c r="C236" s="34"/>
      <c r="D236" s="34"/>
      <c r="E236" s="34"/>
      <c r="F236" s="34"/>
    </row>
    <row r="237" spans="1:6" ht="1.95" customHeight="1" x14ac:dyDescent="0.3">
      <c r="A237" s="1"/>
      <c r="B237" s="1"/>
      <c r="C237" s="1"/>
      <c r="D237" s="1"/>
      <c r="E237" s="1"/>
      <c r="F237" s="1"/>
    </row>
    <row r="238" spans="1:6" ht="18" customHeight="1" x14ac:dyDescent="0.3">
      <c r="A238" s="8" t="s">
        <v>67</v>
      </c>
      <c r="B238" s="8" t="s">
        <v>68</v>
      </c>
      <c r="C238" s="7" t="s">
        <v>69</v>
      </c>
      <c r="D238" s="7" t="s">
        <v>70</v>
      </c>
      <c r="E238" s="9" t="s">
        <v>71</v>
      </c>
      <c r="F238" s="9" t="s">
        <v>72</v>
      </c>
    </row>
    <row r="239" spans="1:6" ht="22.95" customHeight="1" x14ac:dyDescent="0.3">
      <c r="A239" s="11" t="s">
        <v>197</v>
      </c>
      <c r="B239" s="3" t="s">
        <v>198</v>
      </c>
      <c r="C239" s="16">
        <v>25</v>
      </c>
      <c r="D239" s="16" t="s">
        <v>75</v>
      </c>
      <c r="E239" s="17">
        <v>1950</v>
      </c>
      <c r="F239" s="18">
        <f>C239*E239</f>
        <v>48750</v>
      </c>
    </row>
    <row r="240" spans="1:6" ht="19.05" customHeight="1" x14ac:dyDescent="0.3">
      <c r="A240" s="35" t="s">
        <v>199</v>
      </c>
      <c r="B240" s="35"/>
      <c r="C240" s="35"/>
      <c r="D240" s="35"/>
      <c r="E240" s="35"/>
      <c r="F240" s="22">
        <f>SUM(F239:F239)</f>
        <v>48750</v>
      </c>
    </row>
    <row r="241" spans="1:6" ht="4.05" customHeight="1" x14ac:dyDescent="0.3"/>
    <row r="242" spans="1:6" ht="13.05" customHeight="1" x14ac:dyDescent="0.3">
      <c r="A242" s="48" t="s">
        <v>200</v>
      </c>
      <c r="B242" s="34"/>
      <c r="C242" s="34"/>
    </row>
    <row r="243" spans="1:6" ht="19.95" customHeight="1" x14ac:dyDescent="0.3">
      <c r="A243" s="39" t="s">
        <v>201</v>
      </c>
      <c r="B243" s="34"/>
      <c r="C243" s="34"/>
      <c r="D243" s="34"/>
      <c r="E243" s="47">
        <f>F250</f>
        <v>260200</v>
      </c>
      <c r="F243" s="34"/>
    </row>
    <row r="244" spans="1:6" ht="13.05" customHeight="1" x14ac:dyDescent="0.3">
      <c r="A244" s="53" t="s">
        <v>202</v>
      </c>
      <c r="B244" s="34"/>
      <c r="C244" s="34"/>
      <c r="D244" s="34"/>
      <c r="E244" s="34"/>
      <c r="F244" s="34"/>
    </row>
    <row r="245" spans="1:6" ht="1.95" customHeight="1" x14ac:dyDescent="0.3">
      <c r="A245" s="1"/>
      <c r="B245" s="1"/>
      <c r="C245" s="1"/>
      <c r="D245" s="1"/>
      <c r="E245" s="1"/>
      <c r="F245" s="1"/>
    </row>
    <row r="246" spans="1:6" ht="18" customHeight="1" x14ac:dyDescent="0.3">
      <c r="A246" s="8" t="s">
        <v>67</v>
      </c>
      <c r="B246" s="8" t="s">
        <v>68</v>
      </c>
      <c r="C246" s="7" t="s">
        <v>69</v>
      </c>
      <c r="D246" s="7" t="s">
        <v>70</v>
      </c>
      <c r="E246" s="9" t="s">
        <v>71</v>
      </c>
      <c r="F246" s="9" t="s">
        <v>72</v>
      </c>
    </row>
    <row r="247" spans="1:6" ht="22.95" customHeight="1" x14ac:dyDescent="0.3">
      <c r="A247" s="11" t="s">
        <v>203</v>
      </c>
      <c r="B247" s="3" t="s">
        <v>204</v>
      </c>
      <c r="C247" s="16">
        <v>1</v>
      </c>
      <c r="D247" s="16" t="s">
        <v>99</v>
      </c>
      <c r="E247" s="17">
        <v>219700</v>
      </c>
      <c r="F247" s="18">
        <f>C247*E247</f>
        <v>219700</v>
      </c>
    </row>
    <row r="248" spans="1:6" ht="22.95" customHeight="1" x14ac:dyDescent="0.3">
      <c r="A248" s="13" t="s">
        <v>205</v>
      </c>
      <c r="B248" s="14" t="s">
        <v>206</v>
      </c>
      <c r="C248" s="19">
        <v>1</v>
      </c>
      <c r="D248" s="19" t="s">
        <v>99</v>
      </c>
      <c r="E248" s="20">
        <v>20000</v>
      </c>
      <c r="F248" s="21">
        <f>C248*E248</f>
        <v>20000</v>
      </c>
    </row>
    <row r="249" spans="1:6" ht="22.95" customHeight="1" x14ac:dyDescent="0.3">
      <c r="A249" s="11" t="s">
        <v>207</v>
      </c>
      <c r="B249" s="3" t="s">
        <v>208</v>
      </c>
      <c r="C249" s="16">
        <v>1</v>
      </c>
      <c r="D249" s="16" t="s">
        <v>99</v>
      </c>
      <c r="E249" s="17">
        <v>20500</v>
      </c>
      <c r="F249" s="18">
        <f>C249*E249</f>
        <v>20500</v>
      </c>
    </row>
    <row r="250" spans="1:6" ht="19.05" customHeight="1" x14ac:dyDescent="0.3">
      <c r="A250" s="35" t="s">
        <v>209</v>
      </c>
      <c r="B250" s="35"/>
      <c r="C250" s="35"/>
      <c r="D250" s="35"/>
      <c r="E250" s="35"/>
      <c r="F250" s="22">
        <f>SUM(F247:F249)</f>
        <v>260200</v>
      </c>
    </row>
    <row r="251" spans="1:6" ht="4.05" customHeight="1" x14ac:dyDescent="0.3"/>
    <row r="252" spans="1:6" ht="13.05" customHeight="1" x14ac:dyDescent="0.3">
      <c r="A252" s="48" t="s">
        <v>210</v>
      </c>
      <c r="B252" s="34"/>
      <c r="C252" s="34"/>
    </row>
    <row r="253" spans="1:6" ht="19.95" customHeight="1" x14ac:dyDescent="0.3">
      <c r="A253" s="39" t="s">
        <v>211</v>
      </c>
      <c r="B253" s="34"/>
      <c r="C253" s="34"/>
      <c r="D253" s="34"/>
      <c r="E253" s="47">
        <f>F266</f>
        <v>129920</v>
      </c>
      <c r="F253" s="34"/>
    </row>
    <row r="254" spans="1:6" ht="13.05" customHeight="1" x14ac:dyDescent="0.3">
      <c r="A254" s="53" t="s">
        <v>212</v>
      </c>
      <c r="B254" s="34"/>
      <c r="C254" s="34"/>
      <c r="D254" s="34"/>
      <c r="E254" s="34"/>
      <c r="F254" s="34"/>
    </row>
    <row r="255" spans="1:6" ht="1.95" customHeight="1" x14ac:dyDescent="0.3">
      <c r="A255" s="1"/>
      <c r="B255" s="1"/>
      <c r="C255" s="1"/>
      <c r="D255" s="1"/>
      <c r="E255" s="1"/>
      <c r="F255" s="1"/>
    </row>
    <row r="256" spans="1:6" ht="18" customHeight="1" x14ac:dyDescent="0.3">
      <c r="A256" s="8" t="s">
        <v>67</v>
      </c>
      <c r="B256" s="8" t="s">
        <v>68</v>
      </c>
      <c r="C256" s="7" t="s">
        <v>69</v>
      </c>
      <c r="D256" s="7" t="s">
        <v>70</v>
      </c>
      <c r="E256" s="9" t="s">
        <v>71</v>
      </c>
      <c r="F256" s="9" t="s">
        <v>72</v>
      </c>
    </row>
    <row r="257" spans="1:6" ht="22.95" customHeight="1" x14ac:dyDescent="0.3">
      <c r="A257" s="11" t="s">
        <v>213</v>
      </c>
      <c r="B257" s="3" t="s">
        <v>214</v>
      </c>
      <c r="C257" s="16">
        <v>1</v>
      </c>
      <c r="D257" s="16" t="s">
        <v>99</v>
      </c>
      <c r="E257" s="17">
        <v>15000</v>
      </c>
      <c r="F257" s="18">
        <f t="shared" ref="F257:F265" si="0">C257*E257</f>
        <v>15000</v>
      </c>
    </row>
    <row r="258" spans="1:6" ht="22.95" customHeight="1" x14ac:dyDescent="0.3">
      <c r="A258" s="13" t="s">
        <v>215</v>
      </c>
      <c r="B258" s="14" t="s">
        <v>216</v>
      </c>
      <c r="C258" s="19">
        <v>26</v>
      </c>
      <c r="D258" s="19" t="s">
        <v>94</v>
      </c>
      <c r="E258" s="20">
        <v>650</v>
      </c>
      <c r="F258" s="21">
        <f t="shared" si="0"/>
        <v>16900</v>
      </c>
    </row>
    <row r="259" spans="1:6" ht="22.95" customHeight="1" x14ac:dyDescent="0.3">
      <c r="A259" s="11" t="s">
        <v>217</v>
      </c>
      <c r="B259" s="3" t="s">
        <v>218</v>
      </c>
      <c r="C259" s="16">
        <v>12</v>
      </c>
      <c r="D259" s="16" t="s">
        <v>94</v>
      </c>
      <c r="E259" s="17">
        <v>950</v>
      </c>
      <c r="F259" s="18">
        <f t="shared" si="0"/>
        <v>11400</v>
      </c>
    </row>
    <row r="260" spans="1:6" ht="22.95" customHeight="1" x14ac:dyDescent="0.3">
      <c r="A260" s="13" t="s">
        <v>219</v>
      </c>
      <c r="B260" s="14" t="s">
        <v>220</v>
      </c>
      <c r="C260" s="19">
        <v>8</v>
      </c>
      <c r="D260" s="19" t="s">
        <v>221</v>
      </c>
      <c r="E260" s="20">
        <v>1365</v>
      </c>
      <c r="F260" s="21">
        <f t="shared" si="0"/>
        <v>10920</v>
      </c>
    </row>
    <row r="261" spans="1:6" ht="22.95" customHeight="1" x14ac:dyDescent="0.3">
      <c r="A261" s="11" t="s">
        <v>222</v>
      </c>
      <c r="B261" s="3" t="s">
        <v>223</v>
      </c>
      <c r="C261" s="16">
        <v>8</v>
      </c>
      <c r="D261" s="16" t="s">
        <v>94</v>
      </c>
      <c r="E261" s="17">
        <v>650</v>
      </c>
      <c r="F261" s="18">
        <f t="shared" si="0"/>
        <v>5200</v>
      </c>
    </row>
    <row r="262" spans="1:6" ht="22.95" customHeight="1" x14ac:dyDescent="0.3">
      <c r="A262" s="13" t="s">
        <v>224</v>
      </c>
      <c r="B262" s="14" t="s">
        <v>225</v>
      </c>
      <c r="C262" s="19">
        <v>1</v>
      </c>
      <c r="D262" s="19" t="s">
        <v>89</v>
      </c>
      <c r="E262" s="20">
        <v>6500</v>
      </c>
      <c r="F262" s="21">
        <f t="shared" si="0"/>
        <v>6500</v>
      </c>
    </row>
    <row r="263" spans="1:6" ht="22.95" customHeight="1" x14ac:dyDescent="0.3">
      <c r="A263" s="11" t="s">
        <v>226</v>
      </c>
      <c r="B263" s="3" t="s">
        <v>227</v>
      </c>
      <c r="C263" s="16">
        <v>1</v>
      </c>
      <c r="D263" s="16" t="s">
        <v>89</v>
      </c>
      <c r="E263" s="17">
        <v>18000</v>
      </c>
      <c r="F263" s="18">
        <f t="shared" si="0"/>
        <v>18000</v>
      </c>
    </row>
    <row r="264" spans="1:6" ht="22.95" customHeight="1" x14ac:dyDescent="0.3">
      <c r="A264" s="13" t="s">
        <v>228</v>
      </c>
      <c r="B264" s="14" t="s">
        <v>229</v>
      </c>
      <c r="C264" s="19">
        <v>40</v>
      </c>
      <c r="D264" s="19" t="s">
        <v>230</v>
      </c>
      <c r="E264" s="20">
        <v>650</v>
      </c>
      <c r="F264" s="21">
        <f t="shared" si="0"/>
        <v>26000</v>
      </c>
    </row>
    <row r="265" spans="1:6" ht="22.95" customHeight="1" x14ac:dyDescent="0.3">
      <c r="A265" s="11" t="s">
        <v>231</v>
      </c>
      <c r="B265" s="3" t="s">
        <v>232</v>
      </c>
      <c r="C265" s="16">
        <v>1</v>
      </c>
      <c r="D265" s="16" t="s">
        <v>99</v>
      </c>
      <c r="E265" s="17">
        <v>20000</v>
      </c>
      <c r="F265" s="18">
        <f t="shared" si="0"/>
        <v>20000</v>
      </c>
    </row>
    <row r="266" spans="1:6" ht="19.05" customHeight="1" x14ac:dyDescent="0.3">
      <c r="A266" s="35" t="s">
        <v>233</v>
      </c>
      <c r="B266" s="35"/>
      <c r="C266" s="35"/>
      <c r="D266" s="35"/>
      <c r="E266" s="35"/>
      <c r="F266" s="22">
        <f>SUM(F257:F265)</f>
        <v>129920</v>
      </c>
    </row>
    <row r="267" spans="1:6" ht="4.05" customHeight="1" x14ac:dyDescent="0.3"/>
    <row r="268" spans="1:6" ht="13.05" customHeight="1" x14ac:dyDescent="0.3">
      <c r="A268" s="48" t="s">
        <v>234</v>
      </c>
      <c r="B268" s="34"/>
      <c r="C268" s="34"/>
    </row>
    <row r="269" spans="1:6" ht="19.95" customHeight="1" x14ac:dyDescent="0.3">
      <c r="A269" s="39" t="s">
        <v>235</v>
      </c>
      <c r="B269" s="34"/>
      <c r="C269" s="34"/>
      <c r="D269" s="34"/>
      <c r="E269" s="47">
        <f>F274</f>
        <v>12000</v>
      </c>
      <c r="F269" s="34"/>
    </row>
    <row r="270" spans="1:6" ht="13.05" customHeight="1" x14ac:dyDescent="0.3">
      <c r="A270" s="53" t="s">
        <v>236</v>
      </c>
      <c r="B270" s="34"/>
      <c r="C270" s="34"/>
      <c r="D270" s="34"/>
      <c r="E270" s="34"/>
      <c r="F270" s="34"/>
    </row>
    <row r="271" spans="1:6" ht="1.95" customHeight="1" x14ac:dyDescent="0.3">
      <c r="A271" s="1"/>
      <c r="B271" s="1"/>
      <c r="C271" s="1"/>
      <c r="D271" s="1"/>
      <c r="E271" s="1"/>
      <c r="F271" s="1"/>
    </row>
    <row r="272" spans="1:6" ht="18" customHeight="1" x14ac:dyDescent="0.3">
      <c r="A272" s="8" t="s">
        <v>67</v>
      </c>
      <c r="B272" s="8" t="s">
        <v>68</v>
      </c>
      <c r="C272" s="7" t="s">
        <v>69</v>
      </c>
      <c r="D272" s="7" t="s">
        <v>70</v>
      </c>
      <c r="E272" s="9" t="s">
        <v>71</v>
      </c>
      <c r="F272" s="9" t="s">
        <v>72</v>
      </c>
    </row>
    <row r="273" spans="1:6" ht="22.95" customHeight="1" x14ac:dyDescent="0.3">
      <c r="A273" s="11" t="s">
        <v>235</v>
      </c>
      <c r="B273" s="3" t="s">
        <v>237</v>
      </c>
      <c r="C273" s="16">
        <v>1</v>
      </c>
      <c r="D273" s="16" t="s">
        <v>99</v>
      </c>
      <c r="E273" s="17">
        <v>12000</v>
      </c>
      <c r="F273" s="18">
        <f>C273*E273</f>
        <v>12000</v>
      </c>
    </row>
    <row r="274" spans="1:6" ht="19.05" customHeight="1" x14ac:dyDescent="0.3">
      <c r="A274" s="35" t="s">
        <v>238</v>
      </c>
      <c r="B274" s="35"/>
      <c r="C274" s="35"/>
      <c r="D274" s="35"/>
      <c r="E274" s="35"/>
      <c r="F274" s="22">
        <f>SUM(F273:F273)</f>
        <v>12000</v>
      </c>
    </row>
    <row r="275" spans="1:6" ht="4.05" customHeight="1" x14ac:dyDescent="0.3"/>
    <row r="276" spans="1:6" ht="13.05" customHeight="1" x14ac:dyDescent="0.3">
      <c r="A276" s="48" t="s">
        <v>239</v>
      </c>
      <c r="B276" s="34"/>
      <c r="C276" s="34"/>
    </row>
    <row r="277" spans="1:6" ht="19.95" customHeight="1" x14ac:dyDescent="0.3">
      <c r="A277" s="39" t="s">
        <v>240</v>
      </c>
      <c r="B277" s="34"/>
      <c r="C277" s="34"/>
      <c r="D277" s="34"/>
      <c r="E277" s="47">
        <f>F282</f>
        <v>161700</v>
      </c>
      <c r="F277" s="34"/>
    </row>
    <row r="278" spans="1:6" ht="13.05" customHeight="1" x14ac:dyDescent="0.3">
      <c r="A278" s="53" t="s">
        <v>241</v>
      </c>
      <c r="B278" s="34"/>
      <c r="C278" s="34"/>
      <c r="D278" s="34"/>
      <c r="E278" s="34"/>
      <c r="F278" s="34"/>
    </row>
    <row r="279" spans="1:6" ht="1.95" customHeight="1" x14ac:dyDescent="0.3">
      <c r="A279" s="1"/>
      <c r="B279" s="1"/>
      <c r="C279" s="1"/>
      <c r="D279" s="1"/>
      <c r="E279" s="1"/>
      <c r="F279" s="1"/>
    </row>
    <row r="280" spans="1:6" ht="18" customHeight="1" x14ac:dyDescent="0.3">
      <c r="A280" s="8" t="s">
        <v>67</v>
      </c>
      <c r="B280" s="8" t="s">
        <v>68</v>
      </c>
      <c r="C280" s="7" t="s">
        <v>69</v>
      </c>
      <c r="D280" s="7" t="s">
        <v>70</v>
      </c>
      <c r="E280" s="9" t="s">
        <v>71</v>
      </c>
      <c r="F280" s="9" t="s">
        <v>72</v>
      </c>
    </row>
    <row r="281" spans="1:6" ht="31.95" customHeight="1" x14ac:dyDescent="0.3">
      <c r="A281" s="11" t="s">
        <v>242</v>
      </c>
      <c r="B281" s="3" t="s">
        <v>243</v>
      </c>
      <c r="C281" s="16">
        <v>3850</v>
      </c>
      <c r="D281" s="16" t="s">
        <v>75</v>
      </c>
      <c r="E281" s="17">
        <v>42</v>
      </c>
      <c r="F281" s="18">
        <f>C281*E281</f>
        <v>161700</v>
      </c>
    </row>
    <row r="282" spans="1:6" ht="19.05" customHeight="1" x14ac:dyDescent="0.3">
      <c r="A282" s="35" t="s">
        <v>244</v>
      </c>
      <c r="B282" s="35"/>
      <c r="C282" s="35"/>
      <c r="D282" s="35"/>
      <c r="E282" s="35"/>
      <c r="F282" s="22">
        <f>SUM(F281:F281)</f>
        <v>161700</v>
      </c>
    </row>
    <row r="283" spans="1:6" ht="4.05" customHeight="1" x14ac:dyDescent="0.3"/>
    <row r="284" spans="1:6" ht="13.05" customHeight="1" x14ac:dyDescent="0.3">
      <c r="A284" s="48" t="s">
        <v>245</v>
      </c>
      <c r="B284" s="34"/>
      <c r="C284" s="34"/>
    </row>
    <row r="285" spans="1:6" ht="19.95" customHeight="1" x14ac:dyDescent="0.3">
      <c r="A285" s="39" t="s">
        <v>246</v>
      </c>
      <c r="B285" s="34"/>
      <c r="C285" s="34"/>
      <c r="D285" s="34"/>
      <c r="E285" s="47">
        <f>F290</f>
        <v>15000</v>
      </c>
      <c r="F285" s="34"/>
    </row>
    <row r="286" spans="1:6" ht="13.05" customHeight="1" x14ac:dyDescent="0.3">
      <c r="A286" s="53" t="s">
        <v>247</v>
      </c>
      <c r="B286" s="34"/>
      <c r="C286" s="34"/>
      <c r="D286" s="34"/>
      <c r="E286" s="34"/>
      <c r="F286" s="34"/>
    </row>
    <row r="287" spans="1:6" ht="1.95" customHeight="1" x14ac:dyDescent="0.3">
      <c r="A287" s="1"/>
      <c r="B287" s="1"/>
      <c r="C287" s="1"/>
      <c r="D287" s="1"/>
      <c r="E287" s="1"/>
      <c r="F287" s="1"/>
    </row>
    <row r="288" spans="1:6" ht="18" customHeight="1" x14ac:dyDescent="0.3">
      <c r="A288" s="8" t="s">
        <v>67</v>
      </c>
      <c r="B288" s="8" t="s">
        <v>68</v>
      </c>
      <c r="C288" s="7" t="s">
        <v>69</v>
      </c>
      <c r="D288" s="7" t="s">
        <v>70</v>
      </c>
      <c r="E288" s="9" t="s">
        <v>71</v>
      </c>
      <c r="F288" s="9" t="s">
        <v>72</v>
      </c>
    </row>
    <row r="289" spans="1:6" ht="22.95" customHeight="1" x14ac:dyDescent="0.3">
      <c r="A289" s="11" t="s">
        <v>246</v>
      </c>
      <c r="B289" s="3" t="s">
        <v>248</v>
      </c>
      <c r="C289" s="16">
        <v>1</v>
      </c>
      <c r="D289" s="16" t="s">
        <v>249</v>
      </c>
      <c r="E289" s="17">
        <v>15000</v>
      </c>
      <c r="F289" s="18">
        <f>C289*E289</f>
        <v>15000</v>
      </c>
    </row>
    <row r="290" spans="1:6" ht="19.05" customHeight="1" x14ac:dyDescent="0.3">
      <c r="A290" s="35" t="s">
        <v>250</v>
      </c>
      <c r="B290" s="35"/>
      <c r="C290" s="35"/>
      <c r="D290" s="35"/>
      <c r="E290" s="35"/>
      <c r="F290" s="22">
        <f>SUM(F289:F289)</f>
        <v>15000</v>
      </c>
    </row>
    <row r="291" spans="1:6" ht="4.05" customHeight="1" x14ac:dyDescent="0.3"/>
    <row r="292" spans="1:6" ht="13.05" customHeight="1" x14ac:dyDescent="0.3">
      <c r="A292" s="48" t="s">
        <v>251</v>
      </c>
      <c r="B292" s="34"/>
      <c r="C292" s="34"/>
    </row>
    <row r="293" spans="1:6" ht="19.95" customHeight="1" x14ac:dyDescent="0.3">
      <c r="A293" s="39" t="s">
        <v>252</v>
      </c>
      <c r="B293" s="34"/>
      <c r="C293" s="34"/>
      <c r="D293" s="34"/>
      <c r="E293" s="47">
        <f>F303</f>
        <v>66000</v>
      </c>
      <c r="F293" s="34"/>
    </row>
    <row r="294" spans="1:6" ht="13.05" customHeight="1" x14ac:dyDescent="0.3">
      <c r="A294" s="53" t="s">
        <v>253</v>
      </c>
      <c r="B294" s="34"/>
      <c r="C294" s="34"/>
      <c r="D294" s="34"/>
      <c r="E294" s="34"/>
      <c r="F294" s="34"/>
    </row>
    <row r="295" spans="1:6" ht="1.95" customHeight="1" x14ac:dyDescent="0.3">
      <c r="A295" s="1"/>
      <c r="B295" s="1"/>
      <c r="C295" s="1"/>
      <c r="D295" s="1"/>
      <c r="E295" s="1"/>
      <c r="F295" s="1"/>
    </row>
    <row r="296" spans="1:6" ht="18" customHeight="1" x14ac:dyDescent="0.3">
      <c r="A296" s="33" t="s">
        <v>254</v>
      </c>
      <c r="B296" s="34"/>
      <c r="C296" s="34"/>
      <c r="D296" s="33" t="s">
        <v>255</v>
      </c>
      <c r="E296" s="34"/>
      <c r="F296" s="34"/>
    </row>
    <row r="297" spans="1:6" ht="18" customHeight="1" x14ac:dyDescent="0.3">
      <c r="A297" s="33" t="s">
        <v>256</v>
      </c>
      <c r="B297" s="34"/>
      <c r="C297" s="34"/>
      <c r="D297" s="33" t="s">
        <v>257</v>
      </c>
      <c r="E297" s="34"/>
      <c r="F297" s="34"/>
    </row>
    <row r="298" spans="1:6" ht="18" customHeight="1" x14ac:dyDescent="0.3">
      <c r="A298" s="33" t="s">
        <v>258</v>
      </c>
      <c r="B298" s="34"/>
      <c r="C298" s="34"/>
      <c r="D298" s="33" t="s">
        <v>259</v>
      </c>
      <c r="E298" s="34"/>
      <c r="F298" s="34"/>
    </row>
    <row r="299" spans="1:6" ht="18" customHeight="1" x14ac:dyDescent="0.3">
      <c r="A299" s="33" t="s">
        <v>260</v>
      </c>
      <c r="B299" s="34"/>
      <c r="C299" s="34"/>
      <c r="D299" s="33" t="s">
        <v>261</v>
      </c>
      <c r="E299" s="34"/>
      <c r="F299" s="34"/>
    </row>
    <row r="301" spans="1:6" ht="18" customHeight="1" x14ac:dyDescent="0.3">
      <c r="A301" s="8" t="s">
        <v>67</v>
      </c>
      <c r="B301" s="8" t="s">
        <v>68</v>
      </c>
      <c r="C301" s="7" t="s">
        <v>69</v>
      </c>
      <c r="D301" s="7" t="s">
        <v>70</v>
      </c>
      <c r="E301" s="9" t="s">
        <v>71</v>
      </c>
      <c r="F301" s="9" t="s">
        <v>72</v>
      </c>
    </row>
    <row r="302" spans="1:6" ht="22.95" customHeight="1" x14ac:dyDescent="0.3">
      <c r="A302" s="11" t="s">
        <v>252</v>
      </c>
      <c r="B302" s="3" t="s">
        <v>262</v>
      </c>
      <c r="C302" s="16">
        <v>1200</v>
      </c>
      <c r="D302" s="16" t="s">
        <v>75</v>
      </c>
      <c r="E302" s="17">
        <v>55</v>
      </c>
      <c r="F302" s="18">
        <f>C302*E302</f>
        <v>66000</v>
      </c>
    </row>
    <row r="303" spans="1:6" ht="19.05" customHeight="1" x14ac:dyDescent="0.3">
      <c r="A303" s="35" t="s">
        <v>263</v>
      </c>
      <c r="B303" s="35"/>
      <c r="C303" s="35"/>
      <c r="D303" s="35"/>
      <c r="E303" s="35"/>
      <c r="F303" s="22">
        <f>SUM(F302:F302)</f>
        <v>66000</v>
      </c>
    </row>
    <row r="304" spans="1:6" ht="4.05" customHeight="1" x14ac:dyDescent="0.3"/>
    <row r="305" spans="1:6" ht="13.05" customHeight="1" x14ac:dyDescent="0.3">
      <c r="A305" s="48" t="s">
        <v>264</v>
      </c>
      <c r="B305" s="34"/>
      <c r="C305" s="34"/>
    </row>
    <row r="306" spans="1:6" ht="19.95" customHeight="1" x14ac:dyDescent="0.3">
      <c r="A306" s="39" t="s">
        <v>265</v>
      </c>
      <c r="B306" s="34"/>
      <c r="C306" s="34"/>
      <c r="D306" s="34"/>
      <c r="E306" s="47">
        <f>F311</f>
        <v>12000</v>
      </c>
      <c r="F306" s="34"/>
    </row>
    <row r="307" spans="1:6" ht="13.05" customHeight="1" x14ac:dyDescent="0.3">
      <c r="A307" s="53" t="s">
        <v>266</v>
      </c>
      <c r="B307" s="34"/>
      <c r="C307" s="34"/>
      <c r="D307" s="34"/>
      <c r="E307" s="34"/>
      <c r="F307" s="34"/>
    </row>
    <row r="308" spans="1:6" ht="1.95" customHeight="1" x14ac:dyDescent="0.3">
      <c r="A308" s="1"/>
      <c r="B308" s="1"/>
      <c r="C308" s="1"/>
      <c r="D308" s="1"/>
      <c r="E308" s="1"/>
      <c r="F308" s="1"/>
    </row>
    <row r="309" spans="1:6" ht="18" customHeight="1" x14ac:dyDescent="0.3">
      <c r="A309" s="8" t="s">
        <v>67</v>
      </c>
      <c r="B309" s="8" t="s">
        <v>68</v>
      </c>
      <c r="C309" s="7" t="s">
        <v>69</v>
      </c>
      <c r="D309" s="7" t="s">
        <v>70</v>
      </c>
      <c r="E309" s="9" t="s">
        <v>71</v>
      </c>
      <c r="F309" s="9" t="s">
        <v>72</v>
      </c>
    </row>
    <row r="310" spans="1:6" ht="31.95" customHeight="1" x14ac:dyDescent="0.3">
      <c r="A310" s="11" t="s">
        <v>265</v>
      </c>
      <c r="B310" s="3" t="s">
        <v>267</v>
      </c>
      <c r="C310" s="16">
        <v>1</v>
      </c>
      <c r="D310" s="16" t="s">
        <v>249</v>
      </c>
      <c r="E310" s="17">
        <v>12000</v>
      </c>
      <c r="F310" s="18">
        <f>C310*E310</f>
        <v>12000</v>
      </c>
    </row>
    <row r="311" spans="1:6" ht="19.05" customHeight="1" x14ac:dyDescent="0.3">
      <c r="A311" s="35" t="s">
        <v>268</v>
      </c>
      <c r="B311" s="35"/>
      <c r="C311" s="35"/>
      <c r="D311" s="35"/>
      <c r="E311" s="35"/>
      <c r="F311" s="22">
        <f>SUM(F310:F310)</f>
        <v>12000</v>
      </c>
    </row>
    <row r="312" spans="1:6" ht="4.05" customHeight="1" x14ac:dyDescent="0.3"/>
    <row r="313" spans="1:6" ht="13.05" customHeight="1" x14ac:dyDescent="0.3">
      <c r="A313" s="48" t="s">
        <v>269</v>
      </c>
      <c r="B313" s="34"/>
      <c r="C313" s="34"/>
    </row>
    <row r="314" spans="1:6" ht="19.95" customHeight="1" x14ac:dyDescent="0.3">
      <c r="A314" s="39" t="s">
        <v>270</v>
      </c>
      <c r="B314" s="34"/>
      <c r="C314" s="34"/>
      <c r="D314" s="34"/>
      <c r="E314" s="47">
        <f>F324</f>
        <v>42000</v>
      </c>
      <c r="F314" s="34"/>
    </row>
    <row r="315" spans="1:6" ht="13.05" customHeight="1" x14ac:dyDescent="0.3">
      <c r="A315" s="53" t="s">
        <v>271</v>
      </c>
      <c r="B315" s="34"/>
      <c r="C315" s="34"/>
      <c r="D315" s="34"/>
      <c r="E315" s="34"/>
      <c r="F315" s="34"/>
    </row>
    <row r="316" spans="1:6" ht="1.95" customHeight="1" x14ac:dyDescent="0.3">
      <c r="A316" s="1"/>
      <c r="B316" s="1"/>
      <c r="C316" s="1"/>
      <c r="D316" s="1"/>
      <c r="E316" s="1"/>
      <c r="F316" s="1"/>
    </row>
    <row r="317" spans="1:6" ht="18" customHeight="1" x14ac:dyDescent="0.3">
      <c r="A317" s="33" t="s">
        <v>272</v>
      </c>
      <c r="B317" s="34"/>
      <c r="C317" s="34"/>
      <c r="D317" s="33" t="s">
        <v>273</v>
      </c>
      <c r="E317" s="34"/>
      <c r="F317" s="34"/>
    </row>
    <row r="318" spans="1:6" ht="18" customHeight="1" x14ac:dyDescent="0.3">
      <c r="A318" s="33" t="s">
        <v>274</v>
      </c>
      <c r="B318" s="34"/>
      <c r="C318" s="34"/>
      <c r="D318" s="33" t="s">
        <v>275</v>
      </c>
      <c r="E318" s="34"/>
      <c r="F318" s="34"/>
    </row>
    <row r="319" spans="1:6" ht="18" customHeight="1" x14ac:dyDescent="0.3">
      <c r="A319" s="33" t="s">
        <v>276</v>
      </c>
      <c r="B319" s="34"/>
      <c r="C319" s="34"/>
      <c r="D319" s="33" t="s">
        <v>277</v>
      </c>
      <c r="E319" s="34"/>
      <c r="F319" s="34"/>
    </row>
    <row r="320" spans="1:6" ht="18" customHeight="1" x14ac:dyDescent="0.3">
      <c r="A320" s="33" t="s">
        <v>278</v>
      </c>
      <c r="B320" s="34"/>
      <c r="C320" s="34"/>
      <c r="D320" s="33" t="s">
        <v>279</v>
      </c>
      <c r="E320" s="34"/>
      <c r="F320" s="34"/>
    </row>
    <row r="322" spans="1:6" ht="18" customHeight="1" x14ac:dyDescent="0.3">
      <c r="A322" s="8" t="s">
        <v>67</v>
      </c>
      <c r="B322" s="8" t="s">
        <v>68</v>
      </c>
      <c r="C322" s="7" t="s">
        <v>69</v>
      </c>
      <c r="D322" s="7" t="s">
        <v>70</v>
      </c>
      <c r="E322" s="9" t="s">
        <v>71</v>
      </c>
      <c r="F322" s="9" t="s">
        <v>72</v>
      </c>
    </row>
    <row r="323" spans="1:6" ht="22.95" customHeight="1" x14ac:dyDescent="0.3">
      <c r="A323" s="11" t="s">
        <v>270</v>
      </c>
      <c r="B323" s="3" t="s">
        <v>280</v>
      </c>
      <c r="C323" s="16">
        <v>1</v>
      </c>
      <c r="D323" s="16" t="s">
        <v>249</v>
      </c>
      <c r="E323" s="17">
        <v>42000</v>
      </c>
      <c r="F323" s="18">
        <f>C323*E323</f>
        <v>42000</v>
      </c>
    </row>
    <row r="324" spans="1:6" ht="19.05" customHeight="1" x14ac:dyDescent="0.3">
      <c r="A324" s="35" t="s">
        <v>281</v>
      </c>
      <c r="B324" s="35"/>
      <c r="C324" s="35"/>
      <c r="D324" s="35"/>
      <c r="E324" s="35"/>
      <c r="F324" s="22">
        <f>SUM(F323:F323)</f>
        <v>42000</v>
      </c>
    </row>
    <row r="325" spans="1:6" ht="4.05" customHeight="1" x14ac:dyDescent="0.3"/>
    <row r="326" spans="1:6" ht="4.05" customHeight="1" x14ac:dyDescent="0.3">
      <c r="A326" s="1"/>
      <c r="B326" s="1"/>
      <c r="C326" s="1"/>
      <c r="D326" s="1"/>
      <c r="E326" s="1"/>
      <c r="F326" s="1"/>
    </row>
    <row r="327" spans="1:6" ht="28.05" customHeight="1" x14ac:dyDescent="0.3">
      <c r="A327" s="65" t="s">
        <v>282</v>
      </c>
      <c r="B327" s="34"/>
      <c r="C327" s="34"/>
      <c r="D327" s="34"/>
      <c r="E327" s="34"/>
      <c r="F327" s="34"/>
    </row>
    <row r="328" spans="1:6" ht="16.05" customHeight="1" x14ac:dyDescent="0.3">
      <c r="A328" s="53" t="s">
        <v>283</v>
      </c>
      <c r="B328" s="34"/>
      <c r="C328" s="34"/>
      <c r="D328" s="34"/>
      <c r="E328" s="34"/>
      <c r="F328" s="34"/>
    </row>
    <row r="329" spans="1:6" ht="19.95" customHeight="1" x14ac:dyDescent="0.3">
      <c r="A329" s="7" t="s">
        <v>22</v>
      </c>
      <c r="B329" s="36" t="s">
        <v>284</v>
      </c>
      <c r="C329" s="36"/>
      <c r="D329" s="36"/>
      <c r="E329" s="71" t="s">
        <v>72</v>
      </c>
      <c r="F329" s="71"/>
    </row>
    <row r="330" spans="1:6" ht="19.95" customHeight="1" x14ac:dyDescent="0.3">
      <c r="A330" s="10" t="s">
        <v>26</v>
      </c>
      <c r="B330" s="44" t="s">
        <v>285</v>
      </c>
      <c r="C330" s="44"/>
      <c r="D330" s="44"/>
      <c r="E330" s="61">
        <f>F50</f>
        <v>499200</v>
      </c>
      <c r="F330" s="62"/>
    </row>
    <row r="331" spans="1:6" ht="19.95" customHeight="1" x14ac:dyDescent="0.3">
      <c r="A331" s="12"/>
      <c r="B331" s="58" t="s">
        <v>286</v>
      </c>
      <c r="C331" s="58"/>
      <c r="D331" s="58"/>
      <c r="E331" s="42">
        <f>F61</f>
        <v>48400</v>
      </c>
      <c r="F331" s="43"/>
    </row>
    <row r="332" spans="1:6" ht="19.95" customHeight="1" x14ac:dyDescent="0.3">
      <c r="A332" s="10" t="s">
        <v>29</v>
      </c>
      <c r="B332" s="44" t="s">
        <v>30</v>
      </c>
      <c r="C332" s="44"/>
      <c r="D332" s="44"/>
      <c r="E332" s="61">
        <f>F96</f>
        <v>377550</v>
      </c>
      <c r="F332" s="62"/>
    </row>
    <row r="333" spans="1:6" ht="19.95" customHeight="1" x14ac:dyDescent="0.3">
      <c r="A333" s="12" t="s">
        <v>32</v>
      </c>
      <c r="B333" s="58" t="s">
        <v>33</v>
      </c>
      <c r="C333" s="58"/>
      <c r="D333" s="58"/>
      <c r="E333" s="42">
        <f>F121</f>
        <v>142700</v>
      </c>
      <c r="F333" s="43"/>
    </row>
    <row r="334" spans="1:6" ht="19.95" customHeight="1" x14ac:dyDescent="0.3">
      <c r="A334" s="10" t="s">
        <v>35</v>
      </c>
      <c r="B334" s="44" t="s">
        <v>36</v>
      </c>
      <c r="C334" s="44"/>
      <c r="D334" s="44"/>
      <c r="E334" s="61">
        <f>F155</f>
        <v>381600</v>
      </c>
      <c r="F334" s="62"/>
    </row>
    <row r="335" spans="1:6" ht="19.95" customHeight="1" x14ac:dyDescent="0.3">
      <c r="A335" s="12" t="s">
        <v>38</v>
      </c>
      <c r="B335" s="58" t="s">
        <v>39</v>
      </c>
      <c r="C335" s="58"/>
      <c r="D335" s="58"/>
      <c r="E335" s="42">
        <f>F184</f>
        <v>313988</v>
      </c>
      <c r="F335" s="43"/>
    </row>
    <row r="336" spans="1:6" ht="19.95" customHeight="1" x14ac:dyDescent="0.3">
      <c r="A336" s="10" t="s">
        <v>41</v>
      </c>
      <c r="B336" s="44" t="s">
        <v>42</v>
      </c>
      <c r="C336" s="44"/>
      <c r="D336" s="44"/>
      <c r="E336" s="61">
        <f>F211</f>
        <v>313900</v>
      </c>
      <c r="F336" s="62"/>
    </row>
    <row r="337" spans="1:6" ht="19.95" customHeight="1" x14ac:dyDescent="0.3">
      <c r="A337" s="12" t="s">
        <v>287</v>
      </c>
      <c r="B337" s="58" t="s">
        <v>179</v>
      </c>
      <c r="C337" s="58"/>
      <c r="D337" s="58"/>
      <c r="E337" s="42">
        <f>F219</f>
        <v>30525</v>
      </c>
      <c r="F337" s="43"/>
    </row>
    <row r="338" spans="1:6" ht="19.95" customHeight="1" x14ac:dyDescent="0.3">
      <c r="A338" s="10" t="s">
        <v>288</v>
      </c>
      <c r="B338" s="44" t="s">
        <v>185</v>
      </c>
      <c r="C338" s="44"/>
      <c r="D338" s="44"/>
      <c r="E338" s="61">
        <f>F232</f>
        <v>66700</v>
      </c>
      <c r="F338" s="62"/>
    </row>
    <row r="339" spans="1:6" ht="19.95" customHeight="1" x14ac:dyDescent="0.3">
      <c r="A339" s="12" t="s">
        <v>289</v>
      </c>
      <c r="B339" s="58" t="s">
        <v>195</v>
      </c>
      <c r="C339" s="58"/>
      <c r="D339" s="58"/>
      <c r="E339" s="42">
        <f>F240</f>
        <v>48750</v>
      </c>
      <c r="F339" s="43"/>
    </row>
    <row r="340" spans="1:6" ht="19.95" customHeight="1" x14ac:dyDescent="0.3">
      <c r="A340" s="10" t="s">
        <v>290</v>
      </c>
      <c r="B340" s="44" t="s">
        <v>201</v>
      </c>
      <c r="C340" s="44"/>
      <c r="D340" s="44"/>
      <c r="E340" s="61">
        <f>F250</f>
        <v>260200</v>
      </c>
      <c r="F340" s="62"/>
    </row>
    <row r="341" spans="1:6" ht="19.95" customHeight="1" x14ac:dyDescent="0.3">
      <c r="A341" s="12" t="s">
        <v>291</v>
      </c>
      <c r="B341" s="58" t="s">
        <v>211</v>
      </c>
      <c r="C341" s="58"/>
      <c r="D341" s="58"/>
      <c r="E341" s="42">
        <f>F266</f>
        <v>129920</v>
      </c>
      <c r="F341" s="43"/>
    </row>
    <row r="342" spans="1:6" ht="19.95" customHeight="1" x14ac:dyDescent="0.3">
      <c r="A342" s="10" t="s">
        <v>292</v>
      </c>
      <c r="B342" s="44" t="s">
        <v>235</v>
      </c>
      <c r="C342" s="44"/>
      <c r="D342" s="44"/>
      <c r="E342" s="61">
        <f>F274</f>
        <v>12000</v>
      </c>
      <c r="F342" s="62"/>
    </row>
    <row r="343" spans="1:6" ht="19.95" customHeight="1" x14ac:dyDescent="0.3">
      <c r="A343" s="12" t="s">
        <v>293</v>
      </c>
      <c r="B343" s="58" t="s">
        <v>240</v>
      </c>
      <c r="C343" s="58"/>
      <c r="D343" s="58"/>
      <c r="E343" s="42">
        <f>F282</f>
        <v>161700</v>
      </c>
      <c r="F343" s="43"/>
    </row>
    <row r="344" spans="1:6" ht="19.95" customHeight="1" x14ac:dyDescent="0.3">
      <c r="A344" s="10" t="s">
        <v>294</v>
      </c>
      <c r="B344" s="44" t="s">
        <v>246</v>
      </c>
      <c r="C344" s="44"/>
      <c r="D344" s="44"/>
      <c r="E344" s="61">
        <f>F290</f>
        <v>15000</v>
      </c>
      <c r="F344" s="62"/>
    </row>
    <row r="345" spans="1:6" ht="19.95" customHeight="1" x14ac:dyDescent="0.3">
      <c r="A345" s="12" t="s">
        <v>295</v>
      </c>
      <c r="B345" s="58" t="s">
        <v>252</v>
      </c>
      <c r="C345" s="58"/>
      <c r="D345" s="58"/>
      <c r="E345" s="42">
        <f>F303</f>
        <v>66000</v>
      </c>
      <c r="F345" s="43"/>
    </row>
    <row r="346" spans="1:6" ht="19.95" customHeight="1" x14ac:dyDescent="0.3">
      <c r="A346" s="10" t="s">
        <v>296</v>
      </c>
      <c r="B346" s="44" t="s">
        <v>265</v>
      </c>
      <c r="C346" s="44"/>
      <c r="D346" s="44"/>
      <c r="E346" s="61">
        <f>F311</f>
        <v>12000</v>
      </c>
      <c r="F346" s="62"/>
    </row>
    <row r="347" spans="1:6" ht="19.95" customHeight="1" x14ac:dyDescent="0.3">
      <c r="A347" s="12" t="s">
        <v>297</v>
      </c>
      <c r="B347" s="58" t="s">
        <v>270</v>
      </c>
      <c r="C347" s="58"/>
      <c r="D347" s="58"/>
      <c r="E347" s="42">
        <f>F324</f>
        <v>42000</v>
      </c>
      <c r="F347" s="43"/>
    </row>
    <row r="348" spans="1:6" ht="28.05" customHeight="1" x14ac:dyDescent="0.3">
      <c r="A348" s="46" t="s">
        <v>298</v>
      </c>
      <c r="B348" s="46"/>
      <c r="C348" s="46"/>
      <c r="D348" s="46"/>
      <c r="E348" s="74">
        <f>SUM(E330:E347)</f>
        <v>2922133</v>
      </c>
      <c r="F348" s="75"/>
    </row>
    <row r="349" spans="1:6" ht="18" customHeight="1" x14ac:dyDescent="0.3">
      <c r="A349" s="60" t="s">
        <v>299</v>
      </c>
      <c r="B349" s="34"/>
      <c r="C349" s="34"/>
      <c r="D349" s="34"/>
      <c r="E349" s="34"/>
      <c r="F349" s="34"/>
    </row>
    <row r="350" spans="1:6" ht="19.95" customHeight="1" x14ac:dyDescent="0.3">
      <c r="A350" s="56" t="s">
        <v>300</v>
      </c>
      <c r="B350" s="56"/>
      <c r="C350" s="56"/>
      <c r="D350" s="56"/>
      <c r="E350" s="55">
        <f>ROUND(E348*0.09, 0)</f>
        <v>262992</v>
      </c>
      <c r="F350" s="56"/>
    </row>
    <row r="351" spans="1:6" ht="19.95" customHeight="1" x14ac:dyDescent="0.3">
      <c r="A351" s="56" t="s">
        <v>301</v>
      </c>
      <c r="B351" s="56"/>
      <c r="C351" s="56"/>
      <c r="D351" s="56"/>
      <c r="E351" s="55">
        <f>ROUND(E348*0.09, 0)</f>
        <v>262992</v>
      </c>
      <c r="F351" s="56"/>
    </row>
    <row r="352" spans="1:6" ht="24" customHeight="1" x14ac:dyDescent="0.3">
      <c r="A352" s="69" t="s">
        <v>302</v>
      </c>
      <c r="B352" s="69"/>
      <c r="C352" s="69"/>
      <c r="D352" s="69"/>
      <c r="E352" s="67">
        <f>E348+E350+E351</f>
        <v>3448117</v>
      </c>
      <c r="F352" s="68"/>
    </row>
    <row r="354" spans="1:6" ht="19.95" customHeight="1" x14ac:dyDescent="0.3">
      <c r="A354" s="64" t="s">
        <v>303</v>
      </c>
      <c r="B354" s="64"/>
      <c r="C354" s="64"/>
      <c r="D354" s="64"/>
      <c r="E354" s="64"/>
      <c r="F354" s="64"/>
    </row>
    <row r="355" spans="1:6" ht="19.05" customHeight="1" x14ac:dyDescent="0.3">
      <c r="A355" s="7" t="s">
        <v>304</v>
      </c>
      <c r="B355" s="36" t="s">
        <v>305</v>
      </c>
      <c r="C355" s="36"/>
      <c r="D355" s="7" t="s">
        <v>306</v>
      </c>
      <c r="E355" s="71" t="s">
        <v>307</v>
      </c>
      <c r="F355" s="71"/>
    </row>
    <row r="356" spans="1:6" ht="22.05" customHeight="1" x14ac:dyDescent="0.3">
      <c r="A356" s="10">
        <v>1</v>
      </c>
      <c r="B356" s="44" t="s">
        <v>308</v>
      </c>
      <c r="C356" s="44"/>
      <c r="D356" s="25">
        <v>0.15</v>
      </c>
      <c r="E356" s="50">
        <f>ROUND(E352*D356, 0)</f>
        <v>517218</v>
      </c>
      <c r="F356" s="51"/>
    </row>
    <row r="357" spans="1:6" ht="22.05" customHeight="1" x14ac:dyDescent="0.3">
      <c r="A357" s="10">
        <v>2</v>
      </c>
      <c r="B357" s="44" t="s">
        <v>309</v>
      </c>
      <c r="C357" s="44"/>
      <c r="D357" s="25">
        <v>0.5</v>
      </c>
      <c r="E357" s="50">
        <f>ROUND(E352*D357, 0)</f>
        <v>1724059</v>
      </c>
      <c r="F357" s="51"/>
    </row>
    <row r="358" spans="1:6" ht="22.05" customHeight="1" x14ac:dyDescent="0.3">
      <c r="A358" s="10">
        <v>3</v>
      </c>
      <c r="B358" s="44" t="s">
        <v>310</v>
      </c>
      <c r="C358" s="44"/>
      <c r="D358" s="25">
        <v>0.35</v>
      </c>
      <c r="E358" s="50">
        <f>E352-E356-E357</f>
        <v>1206840</v>
      </c>
      <c r="F358" s="51"/>
    </row>
    <row r="359" spans="1:6" ht="19.95" customHeight="1" x14ac:dyDescent="0.3">
      <c r="A359" s="35" t="s">
        <v>311</v>
      </c>
      <c r="B359" s="35"/>
      <c r="C359" s="35"/>
      <c r="D359" s="26">
        <f>SUM(D356:D358)</f>
        <v>1</v>
      </c>
      <c r="E359" s="72">
        <f>SUM(E356:E358)</f>
        <v>3448117</v>
      </c>
      <c r="F359" s="35"/>
    </row>
    <row r="360" spans="1:6" ht="22.05" customHeight="1" x14ac:dyDescent="0.3">
      <c r="A360" s="64" t="s">
        <v>312</v>
      </c>
      <c r="B360" s="64"/>
      <c r="C360" s="64"/>
      <c r="D360" s="64"/>
      <c r="E360" s="64"/>
      <c r="F360" s="64"/>
    </row>
    <row r="361" spans="1:6" ht="18" customHeight="1" x14ac:dyDescent="0.3">
      <c r="A361" s="49" t="s">
        <v>313</v>
      </c>
      <c r="B361" s="34"/>
      <c r="C361" s="34"/>
      <c r="D361" s="34"/>
      <c r="E361" s="34"/>
      <c r="F361" s="34"/>
    </row>
    <row r="362" spans="1:6" ht="19.95" customHeight="1" x14ac:dyDescent="0.3">
      <c r="A362" s="2" t="s">
        <v>314</v>
      </c>
      <c r="B362" s="52" t="s">
        <v>315</v>
      </c>
      <c r="C362" s="52"/>
      <c r="D362" s="57" t="s">
        <v>316</v>
      </c>
      <c r="E362" s="57"/>
      <c r="F362" s="11" t="s">
        <v>1</v>
      </c>
    </row>
    <row r="363" spans="1:6" ht="19.95" customHeight="1" x14ac:dyDescent="0.3">
      <c r="A363" s="2" t="s">
        <v>317</v>
      </c>
      <c r="B363" s="44" t="s">
        <v>318</v>
      </c>
      <c r="C363" s="44"/>
      <c r="D363" s="57" t="s">
        <v>319</v>
      </c>
      <c r="E363" s="57"/>
      <c r="F363" s="11" t="s">
        <v>320</v>
      </c>
    </row>
    <row r="364" spans="1:6" ht="19.95" customHeight="1" x14ac:dyDescent="0.3">
      <c r="A364" s="2" t="s">
        <v>321</v>
      </c>
      <c r="B364" s="44" t="s">
        <v>322</v>
      </c>
      <c r="C364" s="44"/>
      <c r="D364" s="57" t="s">
        <v>323</v>
      </c>
      <c r="E364" s="57"/>
      <c r="F364" s="11" t="s">
        <v>324</v>
      </c>
    </row>
    <row r="366" spans="1:6" ht="22.05" customHeight="1" x14ac:dyDescent="0.3">
      <c r="A366" s="70" t="s">
        <v>325</v>
      </c>
      <c r="B366" s="70"/>
      <c r="C366" s="70"/>
      <c r="D366" s="70"/>
      <c r="E366" s="70"/>
      <c r="F366" s="70"/>
    </row>
    <row r="367" spans="1:6" ht="25.95" customHeight="1" x14ac:dyDescent="0.3">
      <c r="A367" s="45" t="s">
        <v>326</v>
      </c>
      <c r="B367" s="34"/>
      <c r="C367" s="34"/>
      <c r="D367" s="34"/>
      <c r="E367" s="34"/>
      <c r="F367" s="34"/>
    </row>
    <row r="368" spans="1:6" ht="64.95" customHeight="1" x14ac:dyDescent="0.3">
      <c r="A368" s="45" t="s">
        <v>327</v>
      </c>
      <c r="B368" s="34"/>
      <c r="C368" s="34"/>
      <c r="D368" s="34"/>
      <c r="E368" s="34"/>
      <c r="F368" s="34"/>
    </row>
    <row r="369" spans="1:6" ht="52.05" customHeight="1" x14ac:dyDescent="0.3">
      <c r="A369" s="45" t="s">
        <v>328</v>
      </c>
      <c r="B369" s="34"/>
      <c r="C369" s="34"/>
      <c r="D369" s="34"/>
      <c r="E369" s="34"/>
      <c r="F369" s="34"/>
    </row>
    <row r="370" spans="1:6" ht="25.95" customHeight="1" x14ac:dyDescent="0.3">
      <c r="A370" s="45" t="s">
        <v>329</v>
      </c>
      <c r="B370" s="34"/>
      <c r="C370" s="34"/>
      <c r="D370" s="34"/>
      <c r="E370" s="34"/>
      <c r="F370" s="34"/>
    </row>
    <row r="371" spans="1:6" ht="25.95" customHeight="1" x14ac:dyDescent="0.3">
      <c r="A371" s="45" t="s">
        <v>330</v>
      </c>
      <c r="B371" s="34"/>
      <c r="C371" s="34"/>
      <c r="D371" s="34"/>
      <c r="E371" s="34"/>
      <c r="F371" s="34"/>
    </row>
    <row r="372" spans="1:6" ht="39" customHeight="1" x14ac:dyDescent="0.3">
      <c r="A372" s="45" t="s">
        <v>331</v>
      </c>
      <c r="B372" s="34"/>
      <c r="C372" s="34"/>
      <c r="D372" s="34"/>
      <c r="E372" s="34"/>
      <c r="F372" s="34"/>
    </row>
    <row r="373" spans="1:6" ht="25.95" customHeight="1" x14ac:dyDescent="0.3">
      <c r="A373" s="45" t="s">
        <v>332</v>
      </c>
      <c r="B373" s="34"/>
      <c r="C373" s="34"/>
      <c r="D373" s="34"/>
      <c r="E373" s="34"/>
      <c r="F373" s="34"/>
    </row>
    <row r="374" spans="1:6" ht="18" customHeight="1" x14ac:dyDescent="0.3">
      <c r="A374" s="45" t="s">
        <v>333</v>
      </c>
      <c r="B374" s="34"/>
      <c r="C374" s="34"/>
      <c r="D374" s="34"/>
      <c r="E374" s="34"/>
      <c r="F374" s="34"/>
    </row>
    <row r="375" spans="1:6" ht="25.95" customHeight="1" x14ac:dyDescent="0.3">
      <c r="A375" s="45" t="s">
        <v>334</v>
      </c>
      <c r="B375" s="34"/>
      <c r="C375" s="34"/>
      <c r="D375" s="34"/>
      <c r="E375" s="34"/>
      <c r="F375" s="34"/>
    </row>
    <row r="376" spans="1:6" ht="25.95" customHeight="1" x14ac:dyDescent="0.3">
      <c r="A376" s="45" t="s">
        <v>335</v>
      </c>
      <c r="B376" s="34"/>
      <c r="C376" s="34"/>
      <c r="D376" s="34"/>
      <c r="E376" s="34"/>
      <c r="F376" s="34"/>
    </row>
    <row r="378" spans="1:6" ht="42" customHeight="1" x14ac:dyDescent="0.3">
      <c r="A378" s="38" t="s">
        <v>336</v>
      </c>
      <c r="B378" s="38"/>
      <c r="C378" s="38"/>
      <c r="D378" s="38" t="s">
        <v>337</v>
      </c>
      <c r="E378" s="38"/>
      <c r="F378" s="38"/>
    </row>
    <row r="380" spans="1:6" ht="19.95" customHeight="1" x14ac:dyDescent="0.3">
      <c r="A380" s="77" t="s">
        <v>338</v>
      </c>
      <c r="B380" s="77"/>
      <c r="C380" s="77"/>
      <c r="D380" s="77"/>
      <c r="E380" s="77"/>
      <c r="F380" s="77"/>
    </row>
  </sheetData>
  <mergeCells count="281">
    <mergeCell ref="A380:F380"/>
    <mergeCell ref="A222:D222"/>
    <mergeCell ref="A327:F327"/>
    <mergeCell ref="D38:F38"/>
    <mergeCell ref="A52:F52"/>
    <mergeCell ref="B331:D331"/>
    <mergeCell ref="B340:D340"/>
    <mergeCell ref="B10:C10"/>
    <mergeCell ref="A187:D187"/>
    <mergeCell ref="B330:D330"/>
    <mergeCell ref="A276:C276"/>
    <mergeCell ref="B364:C364"/>
    <mergeCell ref="A319:C319"/>
    <mergeCell ref="A311:E311"/>
    <mergeCell ref="A324:E324"/>
    <mergeCell ref="A158:D158"/>
    <mergeCell ref="A240:E240"/>
    <mergeCell ref="A351:D351"/>
    <mergeCell ref="E345:F345"/>
    <mergeCell ref="A296:C296"/>
    <mergeCell ref="A87:C87"/>
    <mergeCell ref="E21:F21"/>
    <mergeCell ref="A376:F376"/>
    <mergeCell ref="A242:C242"/>
    <mergeCell ref="E253:F253"/>
    <mergeCell ref="D103:F103"/>
    <mergeCell ref="E293:F293"/>
    <mergeCell ref="B339:D339"/>
    <mergeCell ref="E333:F333"/>
    <mergeCell ref="E334:F334"/>
    <mergeCell ref="C16:D16"/>
    <mergeCell ref="A85:C85"/>
    <mergeCell ref="C25:D25"/>
    <mergeCell ref="E19:F19"/>
    <mergeCell ref="B329:D329"/>
    <mergeCell ref="B338:D338"/>
    <mergeCell ref="D161:F161"/>
    <mergeCell ref="A367:F367"/>
    <mergeCell ref="A370:F370"/>
    <mergeCell ref="A354:F354"/>
    <mergeCell ref="A65:F65"/>
    <mergeCell ref="E332:F332"/>
    <mergeCell ref="E214:F214"/>
    <mergeCell ref="E285:F285"/>
    <mergeCell ref="E341:F341"/>
    <mergeCell ref="A268:C268"/>
    <mergeCell ref="C24:D24"/>
    <mergeCell ref="D296:F296"/>
    <mergeCell ref="E24:F24"/>
    <mergeCell ref="B337:D337"/>
    <mergeCell ref="A145:C145"/>
    <mergeCell ref="E269:F269"/>
    <mergeCell ref="A61:E61"/>
    <mergeCell ref="D298:F298"/>
    <mergeCell ref="E342:F342"/>
    <mergeCell ref="D3:F4"/>
    <mergeCell ref="A368:F368"/>
    <mergeCell ref="E330:F330"/>
    <mergeCell ref="D84:F84"/>
    <mergeCell ref="E243:F243"/>
    <mergeCell ref="A88:C88"/>
    <mergeCell ref="A359:C359"/>
    <mergeCell ref="D36:F36"/>
    <mergeCell ref="A121:E121"/>
    <mergeCell ref="D149:F149"/>
    <mergeCell ref="E277:F277"/>
    <mergeCell ref="A235:D235"/>
    <mergeCell ref="D320:F320"/>
    <mergeCell ref="E348:F348"/>
    <mergeCell ref="E17:F17"/>
    <mergeCell ref="A14:F14"/>
    <mergeCell ref="A9:C9"/>
    <mergeCell ref="A371:F371"/>
    <mergeCell ref="D192:F192"/>
    <mergeCell ref="D33:F33"/>
    <mergeCell ref="B335:D335"/>
    <mergeCell ref="A318:C318"/>
    <mergeCell ref="E158:F158"/>
    <mergeCell ref="D164:F164"/>
    <mergeCell ref="A28:C28"/>
    <mergeCell ref="E329:F329"/>
    <mergeCell ref="A50:E50"/>
    <mergeCell ref="D148:F148"/>
    <mergeCell ref="D35:F35"/>
    <mergeCell ref="A320:C320"/>
    <mergeCell ref="E331:F331"/>
    <mergeCell ref="E356:F356"/>
    <mergeCell ref="A270:F270"/>
    <mergeCell ref="E306:F306"/>
    <mergeCell ref="A328:F328"/>
    <mergeCell ref="D34:F34"/>
    <mergeCell ref="D318:F318"/>
    <mergeCell ref="E346:F346"/>
    <mergeCell ref="E359:F359"/>
    <mergeCell ref="A98:C98"/>
    <mergeCell ref="E355:F355"/>
    <mergeCell ref="A375:F375"/>
    <mergeCell ref="B357:C357"/>
    <mergeCell ref="A250:E250"/>
    <mergeCell ref="A293:D293"/>
    <mergeCell ref="A86:C86"/>
    <mergeCell ref="D87:F87"/>
    <mergeCell ref="E337:F337"/>
    <mergeCell ref="C20:D20"/>
    <mergeCell ref="A213:C213"/>
    <mergeCell ref="E20:F20"/>
    <mergeCell ref="A307:F307"/>
    <mergeCell ref="E29:F29"/>
    <mergeCell ref="A352:D352"/>
    <mergeCell ref="D193:F193"/>
    <mergeCell ref="A374:F374"/>
    <mergeCell ref="E352:F352"/>
    <mergeCell ref="A150:C150"/>
    <mergeCell ref="A361:F361"/>
    <mergeCell ref="E339:F339"/>
    <mergeCell ref="A144:C144"/>
    <mergeCell ref="A350:D350"/>
    <mergeCell ref="C22:D22"/>
    <mergeCell ref="A244:F244"/>
    <mergeCell ref="A100:F100"/>
    <mergeCell ref="E357:F357"/>
    <mergeCell ref="A266:E266"/>
    <mergeCell ref="A84:C84"/>
    <mergeCell ref="D32:F32"/>
    <mergeCell ref="D145:F145"/>
    <mergeCell ref="E344:F344"/>
    <mergeCell ref="A149:C149"/>
    <mergeCell ref="A366:F366"/>
    <mergeCell ref="D364:E364"/>
    <mergeCell ref="B358:C358"/>
    <mergeCell ref="B356:C356"/>
    <mergeCell ref="A146:C146"/>
    <mergeCell ref="C18:D18"/>
    <mergeCell ref="D86:F86"/>
    <mergeCell ref="A7:C7"/>
    <mergeCell ref="E18:F18"/>
    <mergeCell ref="A211:E211"/>
    <mergeCell ref="A227:F227"/>
    <mergeCell ref="A252:C252"/>
    <mergeCell ref="D297:F297"/>
    <mergeCell ref="A221:C221"/>
    <mergeCell ref="D104:F104"/>
    <mergeCell ref="A292:C292"/>
    <mergeCell ref="A305:C305"/>
    <mergeCell ref="B346:D346"/>
    <mergeCell ref="E351:F351"/>
    <mergeCell ref="B355:C355"/>
    <mergeCell ref="C21:D21"/>
    <mergeCell ref="E15:F15"/>
    <mergeCell ref="C23:D23"/>
    <mergeCell ref="D12:E12"/>
    <mergeCell ref="B336:D336"/>
    <mergeCell ref="B345:D345"/>
    <mergeCell ref="E16:F16"/>
    <mergeCell ref="A96:E96"/>
    <mergeCell ref="E187:F187"/>
    <mergeCell ref="A225:F225"/>
    <mergeCell ref="E25:F25"/>
    <mergeCell ref="A123:C123"/>
    <mergeCell ref="A274:E274"/>
    <mergeCell ref="A26:D26"/>
    <mergeCell ref="A3:C3"/>
    <mergeCell ref="A223:F223"/>
    <mergeCell ref="D147:F147"/>
    <mergeCell ref="D162:F162"/>
    <mergeCell ref="A294:F294"/>
    <mergeCell ref="B333:D333"/>
    <mergeCell ref="E343:F343"/>
    <mergeCell ref="A2:F2"/>
    <mergeCell ref="D106:F106"/>
    <mergeCell ref="A278:F278"/>
    <mergeCell ref="A5:C5"/>
    <mergeCell ref="B11:C11"/>
    <mergeCell ref="D146:F146"/>
    <mergeCell ref="D11:E11"/>
    <mergeCell ref="E314:F314"/>
    <mergeCell ref="A188:F188"/>
    <mergeCell ref="D317:F317"/>
    <mergeCell ref="A254:F254"/>
    <mergeCell ref="A4:C4"/>
    <mergeCell ref="D83:F83"/>
    <mergeCell ref="A215:F215"/>
    <mergeCell ref="E338:F338"/>
    <mergeCell ref="A147:C147"/>
    <mergeCell ref="D319:F319"/>
    <mergeCell ref="A6:C6"/>
    <mergeCell ref="C19:D19"/>
    <mergeCell ref="A306:D306"/>
    <mergeCell ref="A155:E155"/>
    <mergeCell ref="E22:F22"/>
    <mergeCell ref="A228:F228"/>
    <mergeCell ref="A315:F315"/>
    <mergeCell ref="B332:D332"/>
    <mergeCell ref="D105:F105"/>
    <mergeCell ref="A269:D269"/>
    <mergeCell ref="D10:E10"/>
    <mergeCell ref="A253:D253"/>
    <mergeCell ref="A286:F286"/>
    <mergeCell ref="D194:F194"/>
    <mergeCell ref="D107:F107"/>
    <mergeCell ref="D163:F163"/>
    <mergeCell ref="E235:F235"/>
    <mergeCell ref="A27:F27"/>
    <mergeCell ref="A317:C317"/>
    <mergeCell ref="A236:F236"/>
    <mergeCell ref="A125:F125"/>
    <mergeCell ref="D85:F85"/>
    <mergeCell ref="A303:E303"/>
    <mergeCell ref="A186:C186"/>
    <mergeCell ref="D378:F378"/>
    <mergeCell ref="A124:D124"/>
    <mergeCell ref="D299:F299"/>
    <mergeCell ref="B363:C363"/>
    <mergeCell ref="D363:E363"/>
    <mergeCell ref="D191:F191"/>
    <mergeCell ref="A83:C83"/>
    <mergeCell ref="A148:C148"/>
    <mergeCell ref="A99:D99"/>
    <mergeCell ref="D144:F144"/>
    <mergeCell ref="A157:C157"/>
    <mergeCell ref="A243:D243"/>
    <mergeCell ref="A277:D277"/>
    <mergeCell ref="A284:C284"/>
    <mergeCell ref="A226:F226"/>
    <mergeCell ref="A184:E184"/>
    <mergeCell ref="D190:F190"/>
    <mergeCell ref="A349:F349"/>
    <mergeCell ref="A214:D214"/>
    <mergeCell ref="A285:D285"/>
    <mergeCell ref="E336:F336"/>
    <mergeCell ref="D362:E362"/>
    <mergeCell ref="B347:D347"/>
    <mergeCell ref="B341:D341"/>
    <mergeCell ref="A159:F159"/>
    <mergeCell ref="D9:F9"/>
    <mergeCell ref="D165:F165"/>
    <mergeCell ref="D196:F196"/>
    <mergeCell ref="A373:F373"/>
    <mergeCell ref="A282:E282"/>
    <mergeCell ref="A63:C63"/>
    <mergeCell ref="E99:F99"/>
    <mergeCell ref="A299:C299"/>
    <mergeCell ref="E335:F335"/>
    <mergeCell ref="A372:F372"/>
    <mergeCell ref="E222:F222"/>
    <mergeCell ref="E350:F350"/>
    <mergeCell ref="C17:D17"/>
    <mergeCell ref="A360:F360"/>
    <mergeCell ref="B344:D344"/>
    <mergeCell ref="B334:D334"/>
    <mergeCell ref="B343:D343"/>
    <mergeCell ref="E340:F340"/>
    <mergeCell ref="E26:F26"/>
    <mergeCell ref="A30:F30"/>
    <mergeCell ref="A219:E219"/>
    <mergeCell ref="A290:E290"/>
    <mergeCell ref="E124:F124"/>
    <mergeCell ref="D195:F195"/>
    <mergeCell ref="A232:E232"/>
    <mergeCell ref="C15:D15"/>
    <mergeCell ref="D5:F6"/>
    <mergeCell ref="A378:C378"/>
    <mergeCell ref="A29:D29"/>
    <mergeCell ref="E23:F23"/>
    <mergeCell ref="E347:F347"/>
    <mergeCell ref="B342:D342"/>
    <mergeCell ref="A369:F369"/>
    <mergeCell ref="D166:F166"/>
    <mergeCell ref="A348:D348"/>
    <mergeCell ref="A297:C297"/>
    <mergeCell ref="E64:F64"/>
    <mergeCell ref="B12:C12"/>
    <mergeCell ref="A298:C298"/>
    <mergeCell ref="A313:C313"/>
    <mergeCell ref="A314:D314"/>
    <mergeCell ref="D37:F37"/>
    <mergeCell ref="D102:F102"/>
    <mergeCell ref="E358:F358"/>
    <mergeCell ref="A234:C234"/>
    <mergeCell ref="B362:C362"/>
    <mergeCell ref="A64:D64"/>
  </mergeCells>
  <printOptions horizontalCentered="1"/>
  <pageMargins left="0.25" right="0.25" top="0.25" bottom="0.25" header="0.5" footer="0.5"/>
  <pageSetup paperSize="9" fitToHeight="0" orientation="portrait" r:id="rId1"/>
  <rowBreaks count="12" manualBreakCount="12">
    <brk id="27" max="6" man="1"/>
    <brk id="62" max="6" man="1"/>
    <brk id="97" max="6" man="1"/>
    <brk id="122" max="6" man="1"/>
    <brk id="156" max="6" man="1"/>
    <brk id="185" max="6" man="1"/>
    <brk id="212" max="6" man="1"/>
    <brk id="241" max="6" man="1"/>
    <brk id="267" max="6" man="1"/>
    <brk id="291" max="6" man="1"/>
    <brk id="325" max="6" man="1"/>
    <brk id="359"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9"/>
  <sheetViews>
    <sheetView workbookViewId="0"/>
  </sheetViews>
  <sheetFormatPr defaultRowHeight="14.4" x14ac:dyDescent="0.3"/>
  <cols>
    <col min="1" max="1" width="6" customWidth="1"/>
    <col min="2" max="2" width="28" customWidth="1"/>
    <col min="3" max="3" width="16" customWidth="1"/>
    <col min="4" max="4" width="12" customWidth="1"/>
    <col min="5" max="5" width="16" customWidth="1"/>
    <col min="6" max="6" width="22" customWidth="1"/>
  </cols>
  <sheetData>
    <row r="1" spans="1:6" ht="4.05" customHeight="1" x14ac:dyDescent="0.3">
      <c r="A1" s="1"/>
      <c r="B1" s="1"/>
      <c r="C1" s="1"/>
      <c r="D1" s="1"/>
      <c r="E1" s="1"/>
      <c r="F1" s="1"/>
    </row>
    <row r="2" spans="1:6" ht="25.95" customHeight="1" x14ac:dyDescent="0.3">
      <c r="A2" s="66" t="s">
        <v>339</v>
      </c>
      <c r="B2" s="66"/>
      <c r="C2" s="66"/>
      <c r="D2" s="66"/>
      <c r="E2" s="66"/>
      <c r="F2" s="66"/>
    </row>
    <row r="3" spans="1:6" ht="22.05" customHeight="1" x14ac:dyDescent="0.3">
      <c r="A3" s="78" t="s">
        <v>340</v>
      </c>
      <c r="B3" s="78"/>
      <c r="C3" s="78"/>
      <c r="D3" s="54" t="s">
        <v>341</v>
      </c>
      <c r="E3" s="54"/>
      <c r="F3" s="54"/>
    </row>
    <row r="5" spans="1:6" ht="19.95" customHeight="1" x14ac:dyDescent="0.3">
      <c r="A5" s="7" t="s">
        <v>22</v>
      </c>
      <c r="B5" s="8" t="s">
        <v>342</v>
      </c>
      <c r="C5" s="8" t="s">
        <v>343</v>
      </c>
      <c r="D5" s="7" t="s">
        <v>344</v>
      </c>
      <c r="E5" s="9" t="s">
        <v>72</v>
      </c>
      <c r="F5" s="8" t="s">
        <v>345</v>
      </c>
    </row>
    <row r="6" spans="1:6" ht="19.95" customHeight="1" x14ac:dyDescent="0.3">
      <c r="A6" s="10" t="s">
        <v>26</v>
      </c>
      <c r="B6" s="11" t="s">
        <v>285</v>
      </c>
      <c r="C6" s="3" t="s">
        <v>346</v>
      </c>
      <c r="D6" s="27">
        <f t="shared" ref="D6:D23" si="0">E6/$E$24</f>
        <v>0.1708341133001133</v>
      </c>
      <c r="E6" s="18">
        <f>'Luxury Proposal (17 Sections)'!F50</f>
        <v>499200</v>
      </c>
      <c r="F6" s="3" t="s">
        <v>347</v>
      </c>
    </row>
    <row r="7" spans="1:6" ht="19.95" customHeight="1" x14ac:dyDescent="0.3">
      <c r="A7" s="12"/>
      <c r="B7" s="14" t="s">
        <v>286</v>
      </c>
      <c r="C7" s="14" t="s">
        <v>348</v>
      </c>
      <c r="D7" s="28">
        <f t="shared" si="0"/>
        <v>1.6563243356821883E-2</v>
      </c>
      <c r="E7" s="21">
        <f>'Luxury Proposal (17 Sections)'!F61</f>
        <v>48400</v>
      </c>
      <c r="F7" s="14" t="s">
        <v>349</v>
      </c>
    </row>
    <row r="8" spans="1:6" ht="19.95" customHeight="1" x14ac:dyDescent="0.3">
      <c r="A8" s="10" t="s">
        <v>29</v>
      </c>
      <c r="B8" s="11" t="s">
        <v>30</v>
      </c>
      <c r="C8" s="3" t="s">
        <v>350</v>
      </c>
      <c r="D8" s="27">
        <f t="shared" si="0"/>
        <v>0.12920356465636573</v>
      </c>
      <c r="E8" s="18">
        <f>'Luxury Proposal (17 Sections)'!F96</f>
        <v>377550</v>
      </c>
      <c r="F8" s="3" t="s">
        <v>351</v>
      </c>
    </row>
    <row r="9" spans="1:6" ht="19.95" customHeight="1" x14ac:dyDescent="0.3">
      <c r="A9" s="12" t="s">
        <v>32</v>
      </c>
      <c r="B9" s="13" t="s">
        <v>33</v>
      </c>
      <c r="C9" s="14" t="s">
        <v>352</v>
      </c>
      <c r="D9" s="28">
        <f t="shared" si="0"/>
        <v>4.8834190640877739E-2</v>
      </c>
      <c r="E9" s="21">
        <f>'Luxury Proposal (17 Sections)'!F121</f>
        <v>142700</v>
      </c>
      <c r="F9" s="14" t="s">
        <v>130</v>
      </c>
    </row>
    <row r="10" spans="1:6" ht="19.95" customHeight="1" x14ac:dyDescent="0.3">
      <c r="A10" s="10" t="s">
        <v>35</v>
      </c>
      <c r="B10" s="11" t="s">
        <v>36</v>
      </c>
      <c r="C10" s="3" t="s">
        <v>353</v>
      </c>
      <c r="D10" s="27">
        <f t="shared" si="0"/>
        <v>0.13058953853229816</v>
      </c>
      <c r="E10" s="18">
        <f>'Luxury Proposal (17 Sections)'!F155</f>
        <v>381600</v>
      </c>
      <c r="F10" s="3" t="s">
        <v>354</v>
      </c>
    </row>
    <row r="11" spans="1:6" ht="19.95" customHeight="1" x14ac:dyDescent="0.3">
      <c r="A11" s="12" t="s">
        <v>38</v>
      </c>
      <c r="B11" s="13" t="s">
        <v>39</v>
      </c>
      <c r="C11" s="14" t="s">
        <v>353</v>
      </c>
      <c r="D11" s="28">
        <f t="shared" si="0"/>
        <v>0.10745164576697912</v>
      </c>
      <c r="E11" s="21">
        <f>'Luxury Proposal (17 Sections)'!F184</f>
        <v>313988</v>
      </c>
      <c r="F11" s="14" t="s">
        <v>355</v>
      </c>
    </row>
    <row r="12" spans="1:6" ht="19.95" customHeight="1" x14ac:dyDescent="0.3">
      <c r="A12" s="10" t="s">
        <v>41</v>
      </c>
      <c r="B12" s="11" t="s">
        <v>42</v>
      </c>
      <c r="C12" s="3" t="s">
        <v>353</v>
      </c>
      <c r="D12" s="27">
        <f t="shared" si="0"/>
        <v>0.10742153077905763</v>
      </c>
      <c r="E12" s="18">
        <f>'Luxury Proposal (17 Sections)'!F211</f>
        <v>313900</v>
      </c>
      <c r="F12" s="3" t="s">
        <v>355</v>
      </c>
    </row>
    <row r="13" spans="1:6" ht="19.95" customHeight="1" x14ac:dyDescent="0.3">
      <c r="A13" s="12" t="s">
        <v>287</v>
      </c>
      <c r="B13" s="13" t="s">
        <v>179</v>
      </c>
      <c r="C13" s="14" t="s">
        <v>353</v>
      </c>
      <c r="D13" s="28">
        <f t="shared" si="0"/>
        <v>1.0446136435268347E-2</v>
      </c>
      <c r="E13" s="21">
        <f>'Luxury Proposal (17 Sections)'!F219</f>
        <v>30525</v>
      </c>
      <c r="F13" s="14" t="s">
        <v>180</v>
      </c>
    </row>
    <row r="14" spans="1:6" ht="19.95" customHeight="1" x14ac:dyDescent="0.3">
      <c r="A14" s="10" t="s">
        <v>288</v>
      </c>
      <c r="B14" s="11" t="s">
        <v>185</v>
      </c>
      <c r="C14" s="3" t="s">
        <v>356</v>
      </c>
      <c r="D14" s="27">
        <f t="shared" si="0"/>
        <v>2.2825791981405365E-2</v>
      </c>
      <c r="E14" s="18">
        <f>'Luxury Proposal (17 Sections)'!F232</f>
        <v>66700</v>
      </c>
      <c r="F14" s="3" t="s">
        <v>357</v>
      </c>
    </row>
    <row r="15" spans="1:6" ht="19.95" customHeight="1" x14ac:dyDescent="0.3">
      <c r="A15" s="12" t="s">
        <v>289</v>
      </c>
      <c r="B15" s="13" t="s">
        <v>195</v>
      </c>
      <c r="C15" s="14" t="s">
        <v>346</v>
      </c>
      <c r="D15" s="28">
        <f t="shared" si="0"/>
        <v>1.668301887696419E-2</v>
      </c>
      <c r="E15" s="21">
        <f>'Luxury Proposal (17 Sections)'!F240</f>
        <v>48750</v>
      </c>
      <c r="F15" s="14" t="s">
        <v>358</v>
      </c>
    </row>
    <row r="16" spans="1:6" ht="19.95" customHeight="1" x14ac:dyDescent="0.3">
      <c r="A16" s="10" t="s">
        <v>290</v>
      </c>
      <c r="B16" s="11" t="s">
        <v>201</v>
      </c>
      <c r="C16" s="3" t="s">
        <v>359</v>
      </c>
      <c r="D16" s="27">
        <f t="shared" si="0"/>
        <v>8.9044543831509379E-2</v>
      </c>
      <c r="E16" s="18">
        <f>'Luxury Proposal (17 Sections)'!F250</f>
        <v>260200</v>
      </c>
      <c r="F16" s="3" t="s">
        <v>360</v>
      </c>
    </row>
    <row r="17" spans="1:6" ht="19.95" customHeight="1" x14ac:dyDescent="0.3">
      <c r="A17" s="12" t="s">
        <v>291</v>
      </c>
      <c r="B17" s="13" t="s">
        <v>211</v>
      </c>
      <c r="C17" s="14" t="s">
        <v>361</v>
      </c>
      <c r="D17" s="28">
        <f t="shared" si="0"/>
        <v>4.4460673076824359E-2</v>
      </c>
      <c r="E17" s="21">
        <f>'Luxury Proposal (17 Sections)'!F266</f>
        <v>129920</v>
      </c>
      <c r="F17" s="14" t="s">
        <v>362</v>
      </c>
    </row>
    <row r="18" spans="1:6" ht="19.95" customHeight="1" x14ac:dyDescent="0.3">
      <c r="A18" s="10" t="s">
        <v>292</v>
      </c>
      <c r="B18" s="11" t="s">
        <v>235</v>
      </c>
      <c r="C18" s="3" t="s">
        <v>363</v>
      </c>
      <c r="D18" s="27">
        <f t="shared" si="0"/>
        <v>4.1065892620219544E-3</v>
      </c>
      <c r="E18" s="18">
        <f>'Luxury Proposal (17 Sections)'!F274</f>
        <v>12000</v>
      </c>
      <c r="F18" s="3" t="s">
        <v>364</v>
      </c>
    </row>
    <row r="19" spans="1:6" ht="19.95" customHeight="1" x14ac:dyDescent="0.3">
      <c r="A19" s="12" t="s">
        <v>293</v>
      </c>
      <c r="B19" s="13" t="s">
        <v>240</v>
      </c>
      <c r="C19" s="14" t="s">
        <v>365</v>
      </c>
      <c r="D19" s="28">
        <f t="shared" si="0"/>
        <v>5.5336290305745835E-2</v>
      </c>
      <c r="E19" s="21">
        <f>'Luxury Proposal (17 Sections)'!F282</f>
        <v>161700</v>
      </c>
      <c r="F19" s="14" t="s">
        <v>366</v>
      </c>
    </row>
    <row r="20" spans="1:6" ht="19.95" customHeight="1" x14ac:dyDescent="0.3">
      <c r="A20" s="10" t="s">
        <v>294</v>
      </c>
      <c r="B20" s="11" t="s">
        <v>246</v>
      </c>
      <c r="C20" s="3" t="s">
        <v>367</v>
      </c>
      <c r="D20" s="27">
        <f t="shared" si="0"/>
        <v>5.1332365775274428E-3</v>
      </c>
      <c r="E20" s="18">
        <f>'Luxury Proposal (17 Sections)'!F290</f>
        <v>15000</v>
      </c>
      <c r="F20" s="3" t="s">
        <v>368</v>
      </c>
    </row>
    <row r="21" spans="1:6" ht="19.95" customHeight="1" x14ac:dyDescent="0.3">
      <c r="A21" s="12" t="s">
        <v>295</v>
      </c>
      <c r="B21" s="13" t="s">
        <v>252</v>
      </c>
      <c r="C21" s="14" t="s">
        <v>369</v>
      </c>
      <c r="D21" s="28">
        <f t="shared" si="0"/>
        <v>2.2586240941120751E-2</v>
      </c>
      <c r="E21" s="21">
        <f>'Luxury Proposal (17 Sections)'!F303</f>
        <v>66000</v>
      </c>
      <c r="F21" s="14" t="s">
        <v>370</v>
      </c>
    </row>
    <row r="22" spans="1:6" ht="19.95" customHeight="1" x14ac:dyDescent="0.3">
      <c r="A22" s="10" t="s">
        <v>296</v>
      </c>
      <c r="B22" s="11" t="s">
        <v>265</v>
      </c>
      <c r="C22" s="3" t="s">
        <v>371</v>
      </c>
      <c r="D22" s="27">
        <f t="shared" si="0"/>
        <v>4.1065892620219544E-3</v>
      </c>
      <c r="E22" s="18">
        <f>'Luxury Proposal (17 Sections)'!F311</f>
        <v>12000</v>
      </c>
      <c r="F22" s="3" t="s">
        <v>372</v>
      </c>
    </row>
    <row r="23" spans="1:6" ht="19.95" customHeight="1" x14ac:dyDescent="0.3">
      <c r="A23" s="12" t="s">
        <v>297</v>
      </c>
      <c r="B23" s="13" t="s">
        <v>270</v>
      </c>
      <c r="C23" s="14" t="s">
        <v>373</v>
      </c>
      <c r="D23" s="28">
        <f t="shared" si="0"/>
        <v>1.4373062417076841E-2</v>
      </c>
      <c r="E23" s="21">
        <f>'Luxury Proposal (17 Sections)'!F324</f>
        <v>42000</v>
      </c>
      <c r="F23" s="14" t="s">
        <v>374</v>
      </c>
    </row>
    <row r="24" spans="1:6" ht="25.95" customHeight="1" x14ac:dyDescent="0.3">
      <c r="A24" s="80" t="s">
        <v>375</v>
      </c>
      <c r="B24" s="80"/>
      <c r="C24" s="80"/>
      <c r="D24" s="29">
        <f>SUM(D6:D23)</f>
        <v>0.99999999999999989</v>
      </c>
      <c r="E24" s="23">
        <f>SUM(E6:E23)</f>
        <v>2922133</v>
      </c>
      <c r="F24" s="30" t="s">
        <v>376</v>
      </c>
    </row>
    <row r="25" spans="1:6" ht="19.95" customHeight="1" x14ac:dyDescent="0.3">
      <c r="A25" s="56" t="s">
        <v>300</v>
      </c>
      <c r="B25" s="56"/>
      <c r="C25" s="56"/>
      <c r="D25" s="56"/>
      <c r="E25" s="24">
        <f>ROUND(E24*0.09, 0)</f>
        <v>262992</v>
      </c>
      <c r="F25" s="31" t="s">
        <v>377</v>
      </c>
    </row>
    <row r="26" spans="1:6" ht="19.95" customHeight="1" x14ac:dyDescent="0.3">
      <c r="A26" s="56" t="s">
        <v>301</v>
      </c>
      <c r="B26" s="56"/>
      <c r="C26" s="56"/>
      <c r="D26" s="56"/>
      <c r="E26" s="24">
        <f>ROUND(E24*0.09, 0)</f>
        <v>262992</v>
      </c>
      <c r="F26" s="31" t="s">
        <v>378</v>
      </c>
    </row>
    <row r="27" spans="1:6" ht="24" customHeight="1" x14ac:dyDescent="0.3">
      <c r="A27" s="69" t="s">
        <v>379</v>
      </c>
      <c r="B27" s="69"/>
      <c r="C27" s="69"/>
      <c r="D27" s="69"/>
      <c r="E27" s="15">
        <f>E24+E25+E26</f>
        <v>3448117</v>
      </c>
      <c r="F27" s="32" t="s">
        <v>380</v>
      </c>
    </row>
    <row r="29" spans="1:6" ht="19.95" customHeight="1" x14ac:dyDescent="0.3">
      <c r="A29" s="79" t="s">
        <v>381</v>
      </c>
      <c r="B29" s="79"/>
      <c r="C29" s="79"/>
      <c r="D29" s="79"/>
      <c r="E29" s="79"/>
      <c r="F29" s="79"/>
    </row>
  </sheetData>
  <mergeCells count="8">
    <mergeCell ref="A2:F2"/>
    <mergeCell ref="A27:D27"/>
    <mergeCell ref="A26:D26"/>
    <mergeCell ref="A29:F29"/>
    <mergeCell ref="D3:F3"/>
    <mergeCell ref="A3:C3"/>
    <mergeCell ref="A25:D25"/>
    <mergeCell ref="A24:C24"/>
  </mergeCells>
  <printOptions horizontalCentered="1"/>
  <pageMargins left="0.25" right="0.25" top="0.25" bottom="0.25" header="0.5" footer="0.5"/>
  <pageSetup paperSize="9" scale="9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41"/>
  <sheetViews>
    <sheetView workbookViewId="0"/>
  </sheetViews>
  <sheetFormatPr defaultRowHeight="14.4" x14ac:dyDescent="0.3"/>
  <cols>
    <col min="1" max="1" width="20" customWidth="1"/>
    <col min="2" max="2" width="36" customWidth="1"/>
    <col min="3" max="4" width="7" customWidth="1"/>
    <col min="5" max="5" width="12" customWidth="1"/>
    <col min="6" max="6" width="15" customWidth="1"/>
  </cols>
  <sheetData>
    <row r="1" spans="1:6" ht="4.05" customHeight="1" x14ac:dyDescent="0.3">
      <c r="A1" s="1"/>
      <c r="B1" s="1"/>
      <c r="C1" s="1"/>
      <c r="D1" s="1"/>
      <c r="E1" s="1"/>
      <c r="F1" s="1"/>
    </row>
    <row r="2" spans="1:6" ht="25.95" customHeight="1" x14ac:dyDescent="0.3">
      <c r="A2" s="66" t="s">
        <v>382</v>
      </c>
      <c r="B2" s="66"/>
      <c r="C2" s="66"/>
      <c r="D2" s="66"/>
      <c r="E2" s="66"/>
      <c r="F2" s="66"/>
    </row>
    <row r="3" spans="1:6" ht="22.05" customHeight="1" x14ac:dyDescent="0.3">
      <c r="A3" s="78" t="s">
        <v>383</v>
      </c>
      <c r="B3" s="78"/>
      <c r="C3" s="78"/>
      <c r="D3" s="54" t="s">
        <v>384</v>
      </c>
      <c r="E3" s="54"/>
      <c r="F3" s="54"/>
    </row>
    <row r="5" spans="1:6" ht="22.05" customHeight="1" x14ac:dyDescent="0.3">
      <c r="A5" s="81" t="s">
        <v>385</v>
      </c>
      <c r="B5" s="81"/>
      <c r="C5" s="81"/>
      <c r="D5" s="81"/>
      <c r="E5" s="81"/>
      <c r="F5" s="81"/>
    </row>
    <row r="6" spans="1:6" ht="19.95" customHeight="1" x14ac:dyDescent="0.3">
      <c r="A6" s="8" t="s">
        <v>386</v>
      </c>
      <c r="B6" s="8" t="s">
        <v>387</v>
      </c>
      <c r="C6" s="7" t="s">
        <v>388</v>
      </c>
      <c r="D6" s="7" t="s">
        <v>70</v>
      </c>
      <c r="E6" s="9" t="s">
        <v>389</v>
      </c>
      <c r="F6" s="9" t="s">
        <v>390</v>
      </c>
    </row>
    <row r="7" spans="1:6" ht="19.95" customHeight="1" x14ac:dyDescent="0.3">
      <c r="A7" s="11" t="s">
        <v>391</v>
      </c>
      <c r="B7" s="3" t="s">
        <v>392</v>
      </c>
      <c r="C7" s="16">
        <v>26</v>
      </c>
      <c r="D7" s="16" t="s">
        <v>75</v>
      </c>
      <c r="E7" s="17">
        <v>1100</v>
      </c>
      <c r="F7" s="18">
        <f t="shared" ref="F7:F12" si="0">C7*E7</f>
        <v>28600</v>
      </c>
    </row>
    <row r="8" spans="1:6" ht="19.95" customHeight="1" x14ac:dyDescent="0.3">
      <c r="A8" s="13" t="s">
        <v>78</v>
      </c>
      <c r="B8" s="14" t="s">
        <v>393</v>
      </c>
      <c r="C8" s="19">
        <v>38</v>
      </c>
      <c r="D8" s="19" t="s">
        <v>75</v>
      </c>
      <c r="E8" s="20">
        <v>950</v>
      </c>
      <c r="F8" s="21">
        <f t="shared" si="0"/>
        <v>36100</v>
      </c>
    </row>
    <row r="9" spans="1:6" ht="19.95" customHeight="1" x14ac:dyDescent="0.3">
      <c r="A9" s="11" t="s">
        <v>394</v>
      </c>
      <c r="B9" s="3" t="s">
        <v>395</v>
      </c>
      <c r="C9" s="16">
        <v>18</v>
      </c>
      <c r="D9" s="16" t="s">
        <v>75</v>
      </c>
      <c r="E9" s="17">
        <v>1550</v>
      </c>
      <c r="F9" s="18">
        <f t="shared" si="0"/>
        <v>27900</v>
      </c>
    </row>
    <row r="10" spans="1:6" ht="19.95" customHeight="1" x14ac:dyDescent="0.3">
      <c r="A10" s="13" t="s">
        <v>396</v>
      </c>
      <c r="B10" s="14" t="s">
        <v>397</v>
      </c>
      <c r="C10" s="19">
        <v>1</v>
      </c>
      <c r="D10" s="19" t="s">
        <v>82</v>
      </c>
      <c r="E10" s="20">
        <v>12000</v>
      </c>
      <c r="F10" s="21">
        <f t="shared" si="0"/>
        <v>12000</v>
      </c>
    </row>
    <row r="11" spans="1:6" ht="19.95" customHeight="1" x14ac:dyDescent="0.3">
      <c r="A11" s="11" t="s">
        <v>398</v>
      </c>
      <c r="B11" s="3" t="s">
        <v>399</v>
      </c>
      <c r="C11" s="16">
        <v>60</v>
      </c>
      <c r="D11" s="16" t="s">
        <v>75</v>
      </c>
      <c r="E11" s="17">
        <v>1550</v>
      </c>
      <c r="F11" s="18">
        <f t="shared" si="0"/>
        <v>93000</v>
      </c>
    </row>
    <row r="12" spans="1:6" ht="19.95" customHeight="1" x14ac:dyDescent="0.3">
      <c r="A12" s="13" t="s">
        <v>400</v>
      </c>
      <c r="B12" s="14" t="s">
        <v>393</v>
      </c>
      <c r="C12" s="19">
        <v>36</v>
      </c>
      <c r="D12" s="19" t="s">
        <v>75</v>
      </c>
      <c r="E12" s="20">
        <v>950</v>
      </c>
      <c r="F12" s="21">
        <f t="shared" si="0"/>
        <v>34200</v>
      </c>
    </row>
    <row r="13" spans="1:6" ht="22.05" customHeight="1" x14ac:dyDescent="0.3">
      <c r="A13" s="35" t="s">
        <v>401</v>
      </c>
      <c r="B13" s="35"/>
      <c r="C13" s="35"/>
      <c r="D13" s="35"/>
      <c r="E13" s="35"/>
      <c r="F13" s="22">
        <f>SUM(F7:F12)</f>
        <v>231800</v>
      </c>
    </row>
    <row r="15" spans="1:6" ht="22.05" customHeight="1" x14ac:dyDescent="0.3">
      <c r="A15" s="81" t="s">
        <v>402</v>
      </c>
      <c r="B15" s="81"/>
      <c r="C15" s="81"/>
      <c r="D15" s="81"/>
      <c r="E15" s="81"/>
      <c r="F15" s="81"/>
    </row>
    <row r="16" spans="1:6" ht="19.95" customHeight="1" x14ac:dyDescent="0.3">
      <c r="A16" s="8" t="s">
        <v>386</v>
      </c>
      <c r="B16" s="8" t="s">
        <v>387</v>
      </c>
      <c r="C16" s="7" t="s">
        <v>388</v>
      </c>
      <c r="D16" s="7" t="s">
        <v>70</v>
      </c>
      <c r="E16" s="9" t="s">
        <v>389</v>
      </c>
      <c r="F16" s="9" t="s">
        <v>390</v>
      </c>
    </row>
    <row r="17" spans="1:6" ht="19.95" customHeight="1" x14ac:dyDescent="0.3">
      <c r="A17" s="11" t="s">
        <v>403</v>
      </c>
      <c r="B17" s="3" t="s">
        <v>404</v>
      </c>
      <c r="C17" s="16">
        <v>1</v>
      </c>
      <c r="D17" s="16" t="s">
        <v>82</v>
      </c>
      <c r="E17" s="17">
        <v>0</v>
      </c>
      <c r="F17" s="18">
        <f t="shared" ref="F17:F25" si="1">C17*E17</f>
        <v>0</v>
      </c>
    </row>
    <row r="18" spans="1:6" ht="19.95" customHeight="1" x14ac:dyDescent="0.3">
      <c r="A18" s="13" t="s">
        <v>403</v>
      </c>
      <c r="B18" s="14" t="s">
        <v>405</v>
      </c>
      <c r="C18" s="19">
        <v>1</v>
      </c>
      <c r="D18" s="19" t="s">
        <v>89</v>
      </c>
      <c r="E18" s="20">
        <v>0</v>
      </c>
      <c r="F18" s="21">
        <f t="shared" si="1"/>
        <v>0</v>
      </c>
    </row>
    <row r="19" spans="1:6" ht="19.95" customHeight="1" x14ac:dyDescent="0.3">
      <c r="A19" s="11" t="s">
        <v>403</v>
      </c>
      <c r="B19" s="3" t="s">
        <v>406</v>
      </c>
      <c r="C19" s="16">
        <v>1</v>
      </c>
      <c r="D19" s="16" t="s">
        <v>82</v>
      </c>
      <c r="E19" s="17">
        <v>0</v>
      </c>
      <c r="F19" s="18">
        <f t="shared" si="1"/>
        <v>0</v>
      </c>
    </row>
    <row r="20" spans="1:6" ht="19.95" customHeight="1" x14ac:dyDescent="0.3">
      <c r="A20" s="13" t="s">
        <v>403</v>
      </c>
      <c r="B20" s="14" t="s">
        <v>407</v>
      </c>
      <c r="C20" s="19">
        <v>1</v>
      </c>
      <c r="D20" s="19" t="s">
        <v>99</v>
      </c>
      <c r="E20" s="20">
        <v>0</v>
      </c>
      <c r="F20" s="21">
        <f t="shared" si="1"/>
        <v>0</v>
      </c>
    </row>
    <row r="21" spans="1:6" ht="19.95" customHeight="1" x14ac:dyDescent="0.3">
      <c r="A21" s="11" t="s">
        <v>403</v>
      </c>
      <c r="B21" s="3" t="s">
        <v>408</v>
      </c>
      <c r="C21" s="16">
        <v>1</v>
      </c>
      <c r="D21" s="16" t="s">
        <v>89</v>
      </c>
      <c r="E21" s="17">
        <v>0</v>
      </c>
      <c r="F21" s="18">
        <f t="shared" si="1"/>
        <v>0</v>
      </c>
    </row>
    <row r="22" spans="1:6" ht="19.95" customHeight="1" x14ac:dyDescent="0.3">
      <c r="A22" s="13" t="s">
        <v>403</v>
      </c>
      <c r="B22" s="14" t="s">
        <v>409</v>
      </c>
      <c r="C22" s="19">
        <v>1</v>
      </c>
      <c r="D22" s="19" t="s">
        <v>89</v>
      </c>
      <c r="E22" s="20">
        <v>0</v>
      </c>
      <c r="F22" s="21">
        <f t="shared" si="1"/>
        <v>0</v>
      </c>
    </row>
    <row r="23" spans="1:6" ht="19.95" customHeight="1" x14ac:dyDescent="0.3">
      <c r="A23" s="11" t="s">
        <v>403</v>
      </c>
      <c r="B23" s="3" t="s">
        <v>410</v>
      </c>
      <c r="C23" s="16">
        <v>1</v>
      </c>
      <c r="D23" s="16" t="s">
        <v>89</v>
      </c>
      <c r="E23" s="17">
        <v>0</v>
      </c>
      <c r="F23" s="18">
        <f t="shared" si="1"/>
        <v>0</v>
      </c>
    </row>
    <row r="24" spans="1:6" ht="19.95" customHeight="1" x14ac:dyDescent="0.3">
      <c r="A24" s="13" t="s">
        <v>403</v>
      </c>
      <c r="B24" s="14" t="s">
        <v>411</v>
      </c>
      <c r="C24" s="19">
        <v>1</v>
      </c>
      <c r="D24" s="19" t="s">
        <v>82</v>
      </c>
      <c r="E24" s="20">
        <v>0</v>
      </c>
      <c r="F24" s="21">
        <f t="shared" si="1"/>
        <v>0</v>
      </c>
    </row>
    <row r="25" spans="1:6" ht="19.95" customHeight="1" x14ac:dyDescent="0.3">
      <c r="A25" s="11" t="s">
        <v>412</v>
      </c>
      <c r="B25" s="3" t="s">
        <v>413</v>
      </c>
      <c r="C25" s="16">
        <v>1</v>
      </c>
      <c r="D25" s="16" t="s">
        <v>82</v>
      </c>
      <c r="E25" s="17">
        <v>23500</v>
      </c>
      <c r="F25" s="18">
        <f t="shared" si="1"/>
        <v>23500</v>
      </c>
    </row>
    <row r="26" spans="1:6" ht="22.05" customHeight="1" x14ac:dyDescent="0.3">
      <c r="A26" s="35" t="s">
        <v>414</v>
      </c>
      <c r="B26" s="35"/>
      <c r="C26" s="35"/>
      <c r="D26" s="35"/>
      <c r="E26" s="35"/>
      <c r="F26" s="22">
        <f>SUM(F17:F25)</f>
        <v>23500</v>
      </c>
    </row>
    <row r="28" spans="1:6" ht="22.05" customHeight="1" x14ac:dyDescent="0.3">
      <c r="A28" s="81" t="s">
        <v>415</v>
      </c>
      <c r="B28" s="81"/>
      <c r="C28" s="81"/>
      <c r="D28" s="81"/>
      <c r="E28" s="81"/>
      <c r="F28" s="81"/>
    </row>
    <row r="29" spans="1:6" ht="19.95" customHeight="1" x14ac:dyDescent="0.3">
      <c r="A29" s="8" t="s">
        <v>386</v>
      </c>
      <c r="B29" s="8" t="s">
        <v>387</v>
      </c>
      <c r="C29" s="7" t="s">
        <v>388</v>
      </c>
      <c r="D29" s="7" t="s">
        <v>70</v>
      </c>
      <c r="E29" s="9" t="s">
        <v>389</v>
      </c>
      <c r="F29" s="9" t="s">
        <v>390</v>
      </c>
    </row>
    <row r="30" spans="1:6" ht="19.95" customHeight="1" x14ac:dyDescent="0.3">
      <c r="A30" s="11" t="s">
        <v>416</v>
      </c>
      <c r="B30" s="3" t="s">
        <v>417</v>
      </c>
      <c r="C30" s="16">
        <v>1</v>
      </c>
      <c r="D30" s="16" t="s">
        <v>70</v>
      </c>
      <c r="E30" s="17">
        <v>0</v>
      </c>
      <c r="F30" s="18">
        <f t="shared" ref="F30:F35" si="2">C30*E30</f>
        <v>0</v>
      </c>
    </row>
    <row r="31" spans="1:6" ht="19.95" customHeight="1" x14ac:dyDescent="0.3">
      <c r="A31" s="13" t="s">
        <v>418</v>
      </c>
      <c r="B31" s="14" t="s">
        <v>419</v>
      </c>
      <c r="C31" s="19">
        <v>1</v>
      </c>
      <c r="D31" s="19" t="s">
        <v>70</v>
      </c>
      <c r="E31" s="20">
        <v>0</v>
      </c>
      <c r="F31" s="21">
        <f t="shared" si="2"/>
        <v>0</v>
      </c>
    </row>
    <row r="32" spans="1:6" ht="19.95" customHeight="1" x14ac:dyDescent="0.3">
      <c r="A32" s="11" t="s">
        <v>420</v>
      </c>
      <c r="B32" s="3" t="s">
        <v>421</v>
      </c>
      <c r="C32" s="16">
        <v>1</v>
      </c>
      <c r="D32" s="16" t="s">
        <v>99</v>
      </c>
      <c r="E32" s="17">
        <v>0</v>
      </c>
      <c r="F32" s="18">
        <f t="shared" si="2"/>
        <v>0</v>
      </c>
    </row>
    <row r="33" spans="1:6" ht="19.95" customHeight="1" x14ac:dyDescent="0.3">
      <c r="A33" s="13" t="s">
        <v>240</v>
      </c>
      <c r="B33" s="14" t="s">
        <v>422</v>
      </c>
      <c r="C33" s="19">
        <v>1</v>
      </c>
      <c r="D33" s="19" t="s">
        <v>99</v>
      </c>
      <c r="E33" s="20">
        <v>0</v>
      </c>
      <c r="F33" s="21">
        <f t="shared" si="2"/>
        <v>0</v>
      </c>
    </row>
    <row r="34" spans="1:6" ht="19.95" customHeight="1" x14ac:dyDescent="0.3">
      <c r="A34" s="11" t="s">
        <v>423</v>
      </c>
      <c r="B34" s="3" t="s">
        <v>424</v>
      </c>
      <c r="C34" s="16">
        <v>1</v>
      </c>
      <c r="D34" s="16" t="s">
        <v>99</v>
      </c>
      <c r="E34" s="17">
        <v>0</v>
      </c>
      <c r="F34" s="18">
        <f t="shared" si="2"/>
        <v>0</v>
      </c>
    </row>
    <row r="35" spans="1:6" ht="19.95" customHeight="1" x14ac:dyDescent="0.3">
      <c r="A35" s="13" t="s">
        <v>425</v>
      </c>
      <c r="B35" s="14" t="s">
        <v>426</v>
      </c>
      <c r="C35" s="19">
        <v>1</v>
      </c>
      <c r="D35" s="19" t="s">
        <v>99</v>
      </c>
      <c r="E35" s="20">
        <v>0</v>
      </c>
      <c r="F35" s="21">
        <f t="shared" si="2"/>
        <v>0</v>
      </c>
    </row>
    <row r="36" spans="1:6" ht="22.05" customHeight="1" x14ac:dyDescent="0.3">
      <c r="A36" s="35" t="s">
        <v>427</v>
      </c>
      <c r="B36" s="35"/>
      <c r="C36" s="35"/>
      <c r="D36" s="35"/>
      <c r="E36" s="35"/>
      <c r="F36" s="22">
        <f>SUM(F30:F35)</f>
        <v>0</v>
      </c>
    </row>
    <row r="38" spans="1:6" ht="25.95" customHeight="1" x14ac:dyDescent="0.3">
      <c r="A38" s="80" t="s">
        <v>428</v>
      </c>
      <c r="B38" s="80"/>
      <c r="C38" s="80"/>
      <c r="D38" s="80"/>
      <c r="E38" s="80"/>
      <c r="F38" s="23">
        <f>F13+F26+F36</f>
        <v>255300</v>
      </c>
    </row>
    <row r="39" spans="1:6" ht="19.95" customHeight="1" x14ac:dyDescent="0.3">
      <c r="A39" s="56" t="s">
        <v>300</v>
      </c>
      <c r="B39" s="56"/>
      <c r="C39" s="56"/>
      <c r="D39" s="56"/>
      <c r="E39" s="56"/>
      <c r="F39" s="24">
        <f>ROUND(F38*0.09, 0)</f>
        <v>22977</v>
      </c>
    </row>
    <row r="40" spans="1:6" ht="19.95" customHeight="1" x14ac:dyDescent="0.3">
      <c r="A40" s="56" t="s">
        <v>301</v>
      </c>
      <c r="B40" s="56"/>
      <c r="C40" s="56"/>
      <c r="D40" s="56"/>
      <c r="E40" s="56"/>
      <c r="F40" s="24">
        <f>ROUND(F38*0.09, 0)</f>
        <v>22977</v>
      </c>
    </row>
    <row r="41" spans="1:6" ht="24" customHeight="1" x14ac:dyDescent="0.3">
      <c r="A41" s="69" t="s">
        <v>429</v>
      </c>
      <c r="B41" s="69"/>
      <c r="C41" s="69"/>
      <c r="D41" s="69"/>
      <c r="E41" s="69"/>
      <c r="F41" s="15">
        <f>F38+F39+F40</f>
        <v>301254</v>
      </c>
    </row>
  </sheetData>
  <mergeCells count="13">
    <mergeCell ref="A41:E41"/>
    <mergeCell ref="D3:F3"/>
    <mergeCell ref="A3:C3"/>
    <mergeCell ref="A13:E13"/>
    <mergeCell ref="A36:E36"/>
    <mergeCell ref="A40:E40"/>
    <mergeCell ref="A15:F15"/>
    <mergeCell ref="A2:F2"/>
    <mergeCell ref="A39:E39"/>
    <mergeCell ref="A28:F28"/>
    <mergeCell ref="A26:E26"/>
    <mergeCell ref="A38:E38"/>
    <mergeCell ref="A5:F5"/>
  </mergeCells>
  <printOptions horizontalCentered="1"/>
  <pageMargins left="0.25" right="0.25" top="0.25" bottom="0.25" header="0.5" footer="0.5"/>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Luxury Proposal (17 Sections)</vt:lpstr>
      <vt:lpstr>Executive Grand Summary</vt:lpstr>
      <vt:lpstr>Govinda D1304 (BOQ Format)</vt:lpstr>
      <vt:lpstr>'Executive Grand Summary'!Print_Area</vt:lpstr>
      <vt:lpstr>'Govinda D1304 (BOQ Format)'!Print_Area</vt:lpstr>
      <vt:lpstr>'Luxury Proposal (17 Sections)'!Print_Area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GOUTAM PARAMESHWAR JOSHI</cp:lastModifiedBy>
  <dcterms:created xsi:type="dcterms:W3CDTF">2026-10-17T05:31:36Z</dcterms:created>
  <dcterms:modified xsi:type="dcterms:W3CDTF">2026-10-17T05:31:49Z</dcterms:modified>
</cp:coreProperties>
</file>