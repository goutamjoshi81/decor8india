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or8 Luxury White &amp; Gold" sheetId="1" state="visible" r:id="rId1"/>
    <sheet xmlns:r="http://schemas.openxmlformats.org/officeDocument/2006/relationships" name="Master White &amp; Gold Template" sheetId="2" state="visible" r:id="rId2"/>
  </sheets>
  <definedNames/>
  <calcPr calcId="124519" fullCalcOnLoad="1"/>
</workbook>
</file>

<file path=xl/styles.xml><?xml version="1.0" encoding="utf-8"?>
<styleSheet xmlns="http://schemas.openxmlformats.org/spreadsheetml/2006/main">
  <numFmts count="2">
    <numFmt numFmtId="164" formatCode="₹ #,##0.00"/>
    <numFmt numFmtId="165" formatCode="₹ #,##0.00; - ; &quot;-&quot;"/>
  </numFmts>
  <fonts count="13">
    <font>
      <name val="Calibri"/>
      <family val="2"/>
      <color theme="1"/>
      <sz val="11"/>
      <scheme val="minor"/>
    </font>
    <font>
      <name val="Segoe UI"/>
      <b val="1"/>
      <color rgb="FFB8860B"/>
      <sz val="16"/>
    </font>
    <font>
      <name val="Segoe UI"/>
      <b val="1"/>
      <color rgb="FF1A1A1A"/>
      <sz val="15"/>
    </font>
    <font>
      <name val="Segoe UI"/>
      <color rgb="FF555555"/>
      <sz val="9"/>
    </font>
    <font>
      <name val="Segoe UI"/>
      <b val="1"/>
      <color rgb="FF1A1A1A"/>
      <sz val="9.5"/>
    </font>
    <font>
      <name val="Georgia"/>
      <b val="1"/>
      <color rgb="FFB8860B"/>
      <sz val="16"/>
    </font>
    <font>
      <name val="Segoe UI"/>
      <i val="1"/>
      <color rgb="FF555555"/>
      <sz val="8.5"/>
    </font>
    <font>
      <name val="Segoe UI"/>
      <b val="1"/>
      <color rgb="FF1A1A1A"/>
      <sz val="10"/>
    </font>
    <font>
      <name val="Segoe UI"/>
      <b val="1"/>
      <color rgb="FF1A1A1A"/>
      <sz val="9"/>
    </font>
    <font>
      <name val="Segoe UI"/>
      <color rgb="FF1A1A1A"/>
      <sz val="9"/>
    </font>
    <font>
      <name val="Segoe UI"/>
      <b val="1"/>
      <color rgb="FF1A1A1A"/>
      <sz val="11"/>
    </font>
    <font>
      <name val="Segoe UI"/>
      <b val="1"/>
      <color rgb="FF1A1A1A"/>
      <sz val="12"/>
    </font>
    <font>
      <name val="Segoe UI"/>
      <color rgb="FF222222"/>
      <sz val="8.5"/>
    </font>
  </fonts>
  <fills count="8">
    <fill>
      <patternFill/>
    </fill>
    <fill>
      <patternFill patternType="gray125"/>
    </fill>
    <fill>
      <patternFill patternType="solid">
        <fgColor rgb="FFFFFFFF"/>
        <bgColor rgb="FFFFFFFF"/>
      </patternFill>
    </fill>
    <fill>
      <patternFill patternType="solid">
        <fgColor rgb="FFD4AF37"/>
        <bgColor rgb="FFD4AF37"/>
      </patternFill>
    </fill>
    <fill>
      <patternFill patternType="solid">
        <fgColor rgb="FFF2E3BC"/>
        <bgColor rgb="FFF2E3BC"/>
      </patternFill>
    </fill>
    <fill>
      <patternFill patternType="solid">
        <fgColor rgb="FFF5E8C2"/>
        <bgColor rgb="FFF5E8C2"/>
      </patternFill>
    </fill>
    <fill>
      <patternFill patternType="solid">
        <fgColor rgb="FFFAF5E8"/>
        <bgColor rgb="FFFAF5E8"/>
      </patternFill>
    </fill>
    <fill>
      <patternFill patternType="solid">
        <fgColor rgb="FFEEDEA6"/>
        <bgColor rgb="FFEEDEA6"/>
      </patternFill>
    </fill>
  </fills>
  <borders count="17">
    <border>
      <left/>
      <right/>
      <top/>
      <bottom/>
      <diagonal/>
    </border>
    <border>
      <left style="thin">
        <color rgb="FFC9A232"/>
      </left>
      <right style="thin">
        <color rgb="FFC9A232"/>
      </right>
      <top style="thin">
        <color rgb="FFC9A232"/>
      </top>
      <bottom style="thin">
        <color rgb="FFC9A232"/>
      </bottom>
    </border>
    <border>
      <left/>
      <right/>
      <top style="thin">
        <color rgb="FFC9A232"/>
      </top>
      <bottom/>
      <diagonal/>
    </border>
    <border>
      <left/>
      <right style="thin">
        <color rgb="FFC9A232"/>
      </right>
      <top style="thin">
        <color rgb="FFC9A232"/>
      </top>
      <bottom/>
      <diagonal/>
    </border>
    <border>
      <left/>
      <right/>
      <top style="thin">
        <color rgb="FFC9A232"/>
      </top>
      <bottom style="thin">
        <color rgb="FFC9A232"/>
      </bottom>
      <diagonal/>
    </border>
    <border>
      <left/>
      <right style="thin">
        <color rgb="FFC9A232"/>
      </right>
      <top style="thin">
        <color rgb="FFC9A232"/>
      </top>
      <bottom style="thin">
        <color rgb="FFC9A232"/>
      </bottom>
      <diagonal/>
    </border>
    <border>
      <left style="thin">
        <color rgb="FFC9A232"/>
      </left>
      <right/>
      <top/>
      <bottom/>
      <diagonal/>
    </border>
    <border>
      <left style="thin">
        <color rgb="FFC9A232"/>
      </left>
      <right style="thin">
        <color rgb="FFC9A232"/>
      </right>
      <top/>
      <bottom/>
      <diagonal/>
    </border>
    <border>
      <left style="thin">
        <color rgb="FFC9A232"/>
      </left>
      <right style="thin">
        <color rgb="FFC9A232"/>
      </right>
      <top/>
      <bottom style="thin">
        <color rgb="FFC9A232"/>
      </bottom>
      <diagonal/>
    </border>
    <border>
      <left style="thin">
        <color rgb="FFC9A232"/>
      </left>
      <right style="thin">
        <color rgb="FFC9A232"/>
      </right>
      <top style="thin">
        <color rgb="FFC9A232"/>
      </top>
      <bottom style="medium">
        <color rgb="FFC9A232"/>
      </bottom>
    </border>
    <border>
      <left/>
      <right/>
      <top style="thin">
        <color rgb="FFC9A232"/>
      </top>
      <bottom style="medium">
        <color rgb="FFC9A232"/>
      </bottom>
      <diagonal/>
    </border>
    <border>
      <left/>
      <right style="thin">
        <color rgb="FFC9A232"/>
      </right>
      <top style="thin">
        <color rgb="FFC9A232"/>
      </top>
      <bottom style="medium">
        <color rgb="FFC9A232"/>
      </bottom>
      <diagonal/>
    </border>
    <border>
      <left style="medium">
        <color rgb="FFC9A232"/>
      </left>
      <right style="medium">
        <color rgb="FFC9A232"/>
      </right>
      <top style="medium">
        <color rgb="FFC9A232"/>
      </top>
      <bottom style="double">
        <color rgb="FFC9A232"/>
      </bottom>
    </border>
    <border>
      <left/>
      <right/>
      <top style="medium">
        <color rgb="FFC9A232"/>
      </top>
      <bottom/>
      <diagonal/>
    </border>
    <border>
      <left/>
      <right style="medium">
        <color rgb="FFC9A232"/>
      </right>
      <top style="medium">
        <color rgb="FFC9A232"/>
      </top>
      <bottom/>
      <diagonal/>
    </border>
    <border>
      <left/>
      <right/>
      <top style="medium">
        <color rgb="FFC9A232"/>
      </top>
      <bottom style="double">
        <color rgb="FFC9A232"/>
      </bottom>
      <diagonal/>
    </border>
    <border>
      <left/>
      <right style="medium">
        <color rgb="FFC9A232"/>
      </right>
      <top style="medium">
        <color rgb="FFC9A232"/>
      </top>
      <bottom style="double">
        <color rgb="FFC9A232"/>
      </bottom>
      <diagonal/>
    </border>
  </borders>
  <cellStyleXfs count="1">
    <xf numFmtId="0" fontId="0" fillId="0" borderId="0"/>
  </cellStyleXfs>
  <cellXfs count="58">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0" borderId="0" applyAlignment="1" pivotButton="0" quotePrefix="0" xfId="0">
      <alignment horizontal="left" vertical="center" wrapText="1" indent="1"/>
    </xf>
    <xf numFmtId="0" fontId="5" fillId="0" borderId="0" applyAlignment="1" pivotButton="0" quotePrefix="0" xfId="0">
      <alignment horizontal="right" vertical="center"/>
    </xf>
    <xf numFmtId="0" fontId="3" fillId="0" borderId="0" applyAlignment="1" pivotButton="0" quotePrefix="0" xfId="0">
      <alignment horizontal="left" vertical="center" wrapText="1" indent="1"/>
    </xf>
    <xf numFmtId="0" fontId="6" fillId="0" borderId="0" applyAlignment="1" pivotButton="0" quotePrefix="0" xfId="0">
      <alignment horizontal="right" vertical="center" wrapText="1"/>
    </xf>
    <xf numFmtId="0" fontId="4" fillId="0" borderId="0" applyAlignment="1" pivotButton="0" quotePrefix="0" xfId="0">
      <alignment horizontal="left" vertical="center" wrapText="1" indent="1"/>
    </xf>
    <xf numFmtId="0" fontId="0" fillId="3" borderId="0" pivotButton="0" quotePrefix="0" xfId="0"/>
    <xf numFmtId="0" fontId="7" fillId="3" borderId="1" applyAlignment="1" pivotButton="0" quotePrefix="0" xfId="0">
      <alignment horizontal="left" vertical="center" wrapText="1" indent="1"/>
    </xf>
    <xf numFmtId="0" fontId="8" fillId="4" borderId="1" applyAlignment="1" pivotButton="0" quotePrefix="0" xfId="0">
      <alignment horizontal="left" vertical="center" wrapText="1" indent="1"/>
    </xf>
    <xf numFmtId="0" fontId="9" fillId="2" borderId="1" applyAlignment="1" pivotButton="0" quotePrefix="0" xfId="0">
      <alignment horizontal="left" vertical="center" wrapText="1" indent="1"/>
    </xf>
    <xf numFmtId="0" fontId="8" fillId="2" borderId="1" applyAlignment="1" pivotButton="0" quotePrefix="0" xfId="0">
      <alignment horizontal="left" vertical="center" wrapText="1" inden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indent="1"/>
    </xf>
    <xf numFmtId="0" fontId="9" fillId="2" borderId="1" applyAlignment="1" pivotButton="0" quotePrefix="0" xfId="0">
      <alignment horizontal="center" vertical="center" wrapText="1"/>
    </xf>
    <xf numFmtId="0" fontId="8" fillId="2" borderId="1" applyAlignment="1" pivotButton="0" quotePrefix="0" xfId="0">
      <alignment horizontal="center" vertical="center" wrapText="1"/>
    </xf>
    <xf numFmtId="3" fontId="9" fillId="2" borderId="1" applyAlignment="1" pivotButton="0" quotePrefix="0" xfId="0">
      <alignment horizontal="center" vertical="center" wrapText="1"/>
    </xf>
    <xf numFmtId="164" fontId="9" fillId="2" borderId="1" applyAlignment="1" pivotButton="0" quotePrefix="0" xfId="0">
      <alignment horizontal="right" vertical="center" wrapText="1" indent="1"/>
    </xf>
    <xf numFmtId="164" fontId="4" fillId="2" borderId="1" applyAlignment="1" pivotButton="0" quotePrefix="0" xfId="0">
      <alignment horizontal="right" vertical="center" wrapText="1" indent="1"/>
    </xf>
    <xf numFmtId="0" fontId="0" fillId="0" borderId="7" pivotButton="0" quotePrefix="0" xfId="0"/>
    <xf numFmtId="0" fontId="9" fillId="6" borderId="1" applyAlignment="1" pivotButton="0" quotePrefix="0" xfId="0">
      <alignment horizontal="left" vertical="center" wrapText="1" indent="1"/>
    </xf>
    <xf numFmtId="3" fontId="9" fillId="6" borderId="1" applyAlignment="1" pivotButton="0" quotePrefix="0" xfId="0">
      <alignment horizontal="center" vertical="center" wrapText="1"/>
    </xf>
    <xf numFmtId="164" fontId="9" fillId="6" borderId="1" applyAlignment="1" pivotButton="0" quotePrefix="0" xfId="0">
      <alignment horizontal="right" vertical="center" wrapText="1" indent="1"/>
    </xf>
    <xf numFmtId="164" fontId="4" fillId="6" borderId="1" applyAlignment="1" pivotButton="0" quotePrefix="0" xfId="0">
      <alignment horizontal="right" vertical="center" wrapText="1" indent="1"/>
    </xf>
    <xf numFmtId="0" fontId="0" fillId="0" borderId="8" pivotButton="0" quotePrefix="0" xfId="0"/>
    <xf numFmtId="0" fontId="9" fillId="6" borderId="1" applyAlignment="1" pivotButton="0" quotePrefix="0" xfId="0">
      <alignment horizontal="center" vertical="center" wrapText="1"/>
    </xf>
    <xf numFmtId="0" fontId="4" fillId="7" borderId="9" applyAlignment="1" pivotButton="0" quotePrefix="0" xfId="0">
      <alignment horizontal="right" vertical="center" wrapText="1" indent="1"/>
    </xf>
    <xf numFmtId="0" fontId="0" fillId="0" borderId="10" pivotButton="0" quotePrefix="0" xfId="0"/>
    <xf numFmtId="0" fontId="0" fillId="0" borderId="11" pivotButton="0" quotePrefix="0" xfId="0"/>
    <xf numFmtId="164" fontId="4" fillId="7" borderId="9" applyAlignment="1" pivotButton="0" quotePrefix="0" xfId="0">
      <alignment horizontal="right" vertical="center" wrapText="1" indent="1"/>
    </xf>
    <xf numFmtId="0" fontId="0" fillId="7" borderId="9" pivotButton="0" quotePrefix="0" xfId="0"/>
    <xf numFmtId="0" fontId="9" fillId="6" borderId="1" pivotButton="0" quotePrefix="0" xfId="0"/>
    <xf numFmtId="0" fontId="9" fillId="2" borderId="1" pivotButton="0" quotePrefix="0" xfId="0"/>
    <xf numFmtId="164" fontId="8" fillId="6" borderId="1" applyAlignment="1" pivotButton="0" quotePrefix="0" xfId="0">
      <alignment horizontal="right" vertical="center" wrapText="1" indent="1"/>
    </xf>
    <xf numFmtId="165" fontId="9" fillId="2" borderId="1" applyAlignment="1" pivotButton="0" quotePrefix="0" xfId="0">
      <alignment horizontal="right" vertical="center" wrapText="1" indent="1"/>
    </xf>
    <xf numFmtId="165" fontId="9" fillId="6" borderId="1" applyAlignment="1" pivotButton="0" quotePrefix="0" xfId="0">
      <alignment horizontal="right" vertical="center" wrapText="1" indent="1"/>
    </xf>
    <xf numFmtId="0" fontId="4" fillId="7" borderId="1" applyAlignment="1" pivotButton="0" quotePrefix="0" xfId="0">
      <alignment horizontal="right" vertical="center" wrapText="1" indent="1"/>
    </xf>
    <xf numFmtId="164" fontId="7" fillId="7" borderId="1" applyAlignment="1" pivotButton="0" quotePrefix="0" xfId="0">
      <alignment horizontal="right" vertical="center" wrapText="1" indent="1"/>
    </xf>
    <xf numFmtId="0" fontId="0" fillId="7" borderId="1" pivotButton="0" quotePrefix="0" xfId="0"/>
    <xf numFmtId="0" fontId="8" fillId="2" borderId="1" applyAlignment="1" pivotButton="0" quotePrefix="0" xfId="0">
      <alignment horizontal="right" vertical="center" wrapText="1" indent="1"/>
    </xf>
    <xf numFmtId="164" fontId="8" fillId="2" borderId="1" applyAlignment="1" pivotButton="0" quotePrefix="0" xfId="0">
      <alignment horizontal="right" vertical="center" wrapText="1" indent="1"/>
    </xf>
    <xf numFmtId="0" fontId="0" fillId="2" borderId="1" pivotButton="0" quotePrefix="0" xfId="0"/>
    <xf numFmtId="0" fontId="10" fillId="3" borderId="12" applyAlignment="1" pivotButton="0" quotePrefix="0" xfId="0">
      <alignment horizontal="right" vertical="center" wrapText="1" indent="1"/>
    </xf>
    <xf numFmtId="0" fontId="0" fillId="0" borderId="15" pivotButton="0" quotePrefix="0" xfId="0"/>
    <xf numFmtId="0" fontId="0" fillId="0" borderId="16" pivotButton="0" quotePrefix="0" xfId="0"/>
    <xf numFmtId="164" fontId="11" fillId="3" borderId="12" applyAlignment="1" pivotButton="0" quotePrefix="0" xfId="0">
      <alignment horizontal="right" vertical="center" wrapText="1" indent="1"/>
    </xf>
    <xf numFmtId="0" fontId="0" fillId="3" borderId="12" pivotButton="0" quotePrefix="0" xfId="0"/>
    <xf numFmtId="9" fontId="8" fillId="2" borderId="1" applyAlignment="1" pivotButton="0" quotePrefix="0" xfId="0">
      <alignment horizontal="center" vertical="center" wrapText="1"/>
    </xf>
    <xf numFmtId="9" fontId="8"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12" fillId="2" borderId="1" applyAlignment="1" pivotButton="0" quotePrefix="0" xfId="0">
      <alignment horizontal="left" vertical="top" wrapText="1" indent="1"/>
    </xf>
    <xf numFmtId="0" fontId="12" fillId="6" borderId="1" applyAlignment="1" pivotButton="0" quotePrefix="0" xfId="0">
      <alignment horizontal="left" vertical="top" wrapText="1" indent="1"/>
    </xf>
    <xf numFmtId="0" fontId="9" fillId="2" borderId="1" applyAlignment="1" pivotButton="0" quotePrefix="0" xfId="0">
      <alignment horizontal="right" vertical="center" wrapText="1" indent="1"/>
    </xf>
    <xf numFmtId="0" fontId="9" fillId="6" borderId="1" applyAlignment="1" pivotButton="0" quotePrefix="0" xfId="0">
      <alignment horizontal="righ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showGridLines="1" workbookViewId="0">
      <selection activeCell="A1" sqref="A1"/>
    </sheetView>
  </sheetViews>
  <sheetFormatPr baseColWidth="8" defaultRowHeight="15"/>
  <cols>
    <col width="8" customWidth="1" min="1" max="1"/>
    <col width="22" customWidth="1" min="2" max="2"/>
    <col width="34" customWidth="1" min="3" max="3"/>
    <col width="14" customWidth="1" min="4" max="4"/>
    <col width="16" customWidth="1" min="5" max="5"/>
    <col width="18" customWidth="1" min="6" max="6"/>
    <col width="32" customWidth="1" min="7" max="7"/>
  </cols>
  <sheetData>
    <row r="1" ht="28" customHeight="1">
      <c r="A1" s="1" t="inlineStr">
        <is>
          <t>QUOTATION</t>
        </is>
      </c>
      <c r="B1" s="2" t="n"/>
      <c r="C1" s="2" t="n"/>
      <c r="D1" s="2" t="n"/>
      <c r="E1" s="2" t="n"/>
      <c r="F1" s="2" t="n"/>
      <c r="G1" s="3" t="n"/>
    </row>
    <row r="2" ht="20" customHeight="1">
      <c r="A2" s="4" t="inlineStr">
        <is>
          <t>DECOR8 INDIA</t>
        </is>
      </c>
      <c r="E2" s="5" t="inlineStr">
        <is>
          <t>DECOR8 INDIA</t>
        </is>
      </c>
    </row>
    <row r="3" ht="16" customHeight="1">
      <c r="A3" s="6" t="inlineStr">
        <is>
          <t>#14, Sy NO 36/1 Vasanth Vallabhnagar, Vasanthapura</t>
        </is>
      </c>
    </row>
    <row r="4" ht="16" customHeight="1">
      <c r="A4" s="6" t="inlineStr">
        <is>
          <t>Uttarahalli Hobli ,Bengaluru - 560061</t>
        </is>
      </c>
      <c r="E4" s="7" t="inlineStr">
        <is>
          <t>Affordable Luxury Interiors
www.decor8india.com</t>
        </is>
      </c>
    </row>
    <row r="5" ht="16" customHeight="1">
      <c r="A5" s="6" t="inlineStr">
        <is>
          <t>8884131414 ,9380523743</t>
        </is>
      </c>
    </row>
    <row r="6" ht="18" customHeight="1">
      <c r="A6" s="8" t="inlineStr">
        <is>
          <t>GSTIN: 29CHPPB0944C2ZD</t>
        </is>
      </c>
    </row>
    <row r="7" ht="4" customHeight="1">
      <c r="A7" s="9" t="n"/>
    </row>
    <row r="8" ht="24" customHeight="1">
      <c r="A8" s="10" t="inlineStr">
        <is>
          <t>QUOTATION For - MR.GOVINDA- Kolte Patil D1304</t>
        </is>
      </c>
      <c r="B8" s="2" t="n"/>
      <c r="C8" s="2" t="n"/>
      <c r="D8" s="3" t="n"/>
      <c r="E8" s="10" t="inlineStr">
        <is>
          <t>Company Representative: Mr.Satish</t>
        </is>
      </c>
      <c r="F8" s="2" t="n"/>
      <c r="G8" s="3" t="n"/>
    </row>
    <row r="9" ht="20" customHeight="1">
      <c r="A9" s="11" t="inlineStr">
        <is>
          <t>Quotation No:</t>
        </is>
      </c>
      <c r="B9" s="12" t="inlineStr">
        <is>
          <t>D8202607102</t>
        </is>
      </c>
      <c r="C9" s="2" t="n"/>
      <c r="D9" s="3" t="n"/>
      <c r="E9" s="11" t="inlineStr">
        <is>
          <t>Quotation Date:</t>
        </is>
      </c>
      <c r="F9" s="12" t="inlineStr">
        <is>
          <t>06-AUG-2026</t>
        </is>
      </c>
      <c r="G9" s="3" t="n"/>
    </row>
    <row r="10" ht="20" customHeight="1">
      <c r="A10" s="11" t="inlineStr">
        <is>
          <t>Contact No:</t>
        </is>
      </c>
      <c r="B10" s="12" t="inlineStr">
        <is>
          <t>+91 ******93754</t>
        </is>
      </c>
      <c r="C10" s="2" t="n"/>
      <c r="D10" s="3" t="n"/>
      <c r="E10" s="11" t="inlineStr">
        <is>
          <t>Address:</t>
        </is>
      </c>
      <c r="F10" s="12" t="inlineStr">
        <is>
          <t>Bengaluru</t>
        </is>
      </c>
      <c r="G10" s="3" t="n"/>
    </row>
    <row r="11" ht="20" customHeight="1">
      <c r="A11" s="11" t="inlineStr">
        <is>
          <t>Email ID :</t>
        </is>
      </c>
      <c r="B11" s="12" t="inlineStr">
        <is>
          <t>-</t>
        </is>
      </c>
      <c r="C11" s="2" t="n"/>
      <c r="D11" s="3" t="n"/>
      <c r="E11" s="13" t="inlineStr"/>
      <c r="F11" s="12" t="inlineStr"/>
      <c r="G11" s="3" t="n"/>
    </row>
    <row r="12" ht="6" customHeight="1"/>
    <row r="13" ht="24" customHeight="1">
      <c r="A13" s="10" t="inlineStr">
        <is>
          <t>Section A: Wood work &amp; Modular Finish CENTURY PLY</t>
        </is>
      </c>
      <c r="B13" s="2" t="n"/>
      <c r="C13" s="2" t="n"/>
      <c r="D13" s="2" t="n"/>
      <c r="E13" s="2" t="n"/>
      <c r="F13" s="2" t="n"/>
      <c r="G13" s="3" t="n"/>
    </row>
    <row r="14" ht="22" customHeight="1">
      <c r="A14" s="14" t="inlineStr">
        <is>
          <t>Sl
No</t>
        </is>
      </c>
      <c r="B14" s="15" t="inlineStr">
        <is>
          <t>Item Name</t>
        </is>
      </c>
      <c r="C14" s="15" t="inlineStr">
        <is>
          <t>Sub Item Name</t>
        </is>
      </c>
      <c r="D14" s="14" t="inlineStr">
        <is>
          <t>Total
SQFT</t>
        </is>
      </c>
      <c r="E14" s="14" t="inlineStr">
        <is>
          <t>Rate</t>
        </is>
      </c>
      <c r="F14" s="14" t="inlineStr">
        <is>
          <t>Amount</t>
        </is>
      </c>
      <c r="G14" s="15" t="inlineStr">
        <is>
          <t>Remarks</t>
        </is>
      </c>
    </row>
    <row r="15" ht="20" customHeight="1">
      <c r="A15" s="16" t="n">
        <v>1</v>
      </c>
      <c r="B15" s="17" t="inlineStr">
        <is>
          <t>Utility storage</t>
        </is>
      </c>
      <c r="C15" s="12" t="inlineStr">
        <is>
          <t>Profile shutters</t>
        </is>
      </c>
      <c r="D15" s="18" t="n">
        <v>26</v>
      </c>
      <c r="E15" s="19" t="n">
        <v>1100</v>
      </c>
      <c r="F15" s="20">
        <f>D15*E15</f>
        <v/>
      </c>
      <c r="G15" s="12" t="inlineStr">
        <is>
          <t>For tv unit and kitchen</t>
        </is>
      </c>
    </row>
    <row r="16" ht="20" customHeight="1">
      <c r="A16" s="21" t="n"/>
      <c r="B16" s="21" t="n"/>
      <c r="C16" s="22" t="inlineStr">
        <is>
          <t>Loft</t>
        </is>
      </c>
      <c r="D16" s="23" t="n">
        <v>38</v>
      </c>
      <c r="E16" s="24" t="n">
        <v>950</v>
      </c>
      <c r="F16" s="25">
        <f>D16*E16</f>
        <v/>
      </c>
      <c r="G16" s="22" t="inlineStr">
        <is>
          <t>Frame with shutters</t>
        </is>
      </c>
    </row>
    <row r="17" ht="20" customHeight="1">
      <c r="A17" s="21" t="n"/>
      <c r="B17" s="21" t="n"/>
      <c r="C17" s="12" t="inlineStr">
        <is>
          <t>Tall Unit</t>
        </is>
      </c>
      <c r="D17" s="18" t="n">
        <v>18</v>
      </c>
      <c r="E17" s="19" t="n">
        <v>1550</v>
      </c>
      <c r="F17" s="20">
        <f>D17*E17</f>
        <v/>
      </c>
      <c r="G17" s="12" t="inlineStr">
        <is>
          <t>-</t>
        </is>
      </c>
    </row>
    <row r="18" ht="20" customHeight="1">
      <c r="A18" s="26" t="n"/>
      <c r="B18" s="26" t="n"/>
      <c r="C18" s="22" t="inlineStr">
        <is>
          <t>Wicker Basket</t>
        </is>
      </c>
      <c r="D18" s="27" t="inlineStr">
        <is>
          <t>-</t>
        </is>
      </c>
      <c r="E18" s="24" t="n">
        <v>12000</v>
      </c>
      <c r="F18" s="25" t="n">
        <v>12000</v>
      </c>
      <c r="G18" s="22" t="inlineStr">
        <is>
          <t>2 Baskets</t>
        </is>
      </c>
    </row>
    <row r="19" ht="20" customHeight="1">
      <c r="A19" s="16" t="n">
        <v>2</v>
      </c>
      <c r="B19" s="17" t="inlineStr">
        <is>
          <t>KBR</t>
        </is>
      </c>
      <c r="C19" s="12" t="inlineStr">
        <is>
          <t>Swing Wardrobe</t>
        </is>
      </c>
      <c r="D19" s="18" t="n">
        <v>60</v>
      </c>
      <c r="E19" s="19" t="n">
        <v>1550</v>
      </c>
      <c r="F19" s="20">
        <f>D19*E19</f>
        <v/>
      </c>
      <c r="G19" s="12" t="inlineStr">
        <is>
          <t>Century MR Ply carcase &amp; Laminate Finish</t>
        </is>
      </c>
    </row>
    <row r="20" ht="20" customHeight="1">
      <c r="A20" s="26" t="n"/>
      <c r="B20" s="26" t="n"/>
      <c r="C20" s="22" t="inlineStr">
        <is>
          <t>Loft</t>
        </is>
      </c>
      <c r="D20" s="23" t="n">
        <v>36</v>
      </c>
      <c r="E20" s="24" t="n">
        <v>950</v>
      </c>
      <c r="F20" s="25">
        <f>D20*E20</f>
        <v/>
      </c>
      <c r="G20" s="22" t="inlineStr">
        <is>
          <t>Frame with shutters</t>
        </is>
      </c>
    </row>
    <row r="21" ht="22" customHeight="1">
      <c r="A21" s="28" t="inlineStr">
        <is>
          <t>Sub Total excluding GST</t>
        </is>
      </c>
      <c r="B21" s="29" t="n"/>
      <c r="C21" s="29" t="n"/>
      <c r="D21" s="29" t="n"/>
      <c r="E21" s="30" t="n"/>
      <c r="F21" s="31">
        <f>SUM(F15:F20)</f>
        <v/>
      </c>
      <c r="G21" s="32" t="n"/>
    </row>
    <row r="22" ht="22" customHeight="1">
      <c r="A22" s="28" t="inlineStr">
        <is>
          <t>Sub Total excluding GST (A)</t>
        </is>
      </c>
      <c r="B22" s="29" t="n"/>
      <c r="C22" s="29" t="n"/>
      <c r="D22" s="29" t="n"/>
      <c r="E22" s="30" t="n"/>
      <c r="F22" s="31">
        <f>F21</f>
        <v/>
      </c>
      <c r="G22" s="32" t="n"/>
    </row>
    <row r="23" ht="6" customHeight="1"/>
    <row r="24" ht="24" customHeight="1">
      <c r="A24" s="10" t="inlineStr">
        <is>
          <t>Section B: Appliances &amp; Accessories</t>
        </is>
      </c>
      <c r="B24" s="2" t="n"/>
      <c r="C24" s="2" t="n"/>
      <c r="D24" s="2" t="n"/>
      <c r="E24" s="2" t="n"/>
      <c r="F24" s="2" t="n"/>
      <c r="G24" s="3" t="n"/>
    </row>
    <row r="25" ht="22" customHeight="1">
      <c r="A25" s="14" t="inlineStr">
        <is>
          <t>Sl
No</t>
        </is>
      </c>
      <c r="B25" s="15" t="inlineStr">
        <is>
          <t>Particulars</t>
        </is>
      </c>
      <c r="C25" s="15" t="inlineStr">
        <is>
          <t>Item Details</t>
        </is>
      </c>
      <c r="D25" s="3" t="n"/>
      <c r="E25" s="14" t="inlineStr">
        <is>
          <t>Price</t>
        </is>
      </c>
      <c r="F25" s="14" t="inlineStr">
        <is>
          <t>Amount</t>
        </is>
      </c>
      <c r="G25" s="15" t="inlineStr">
        <is>
          <t>Remarks</t>
        </is>
      </c>
    </row>
    <row r="26" ht="20" customHeight="1">
      <c r="A26" s="27" t="n">
        <v>1</v>
      </c>
      <c r="B26" s="27" t="inlineStr">
        <is>
          <t>Kitchen
Hardware(including soft
hinges )</t>
        </is>
      </c>
      <c r="C26" s="22" t="inlineStr">
        <is>
          <t>Hob and Chimney (Elica /Kutchina)</t>
        </is>
      </c>
      <c r="D26" s="33" t="n"/>
      <c r="E26" s="27" t="inlineStr">
        <is>
          <t>-</t>
        </is>
      </c>
      <c r="F26" s="27" t="inlineStr">
        <is>
          <t>-</t>
        </is>
      </c>
      <c r="G26" s="22" t="inlineStr">
        <is>
          <t>-</t>
        </is>
      </c>
    </row>
    <row r="27" ht="20" customHeight="1">
      <c r="A27" s="16" t="n"/>
      <c r="B27" s="16" t="n"/>
      <c r="C27" s="12" t="inlineStr">
        <is>
          <t>Sink</t>
        </is>
      </c>
      <c r="D27" s="34" t="n"/>
      <c r="E27" s="16" t="inlineStr">
        <is>
          <t>-</t>
        </is>
      </c>
      <c r="F27" s="16" t="inlineStr">
        <is>
          <t>-</t>
        </is>
      </c>
      <c r="G27" s="12" t="inlineStr">
        <is>
          <t>-</t>
        </is>
      </c>
    </row>
    <row r="28" ht="20" customHeight="1">
      <c r="A28" s="27" t="n"/>
      <c r="B28" s="27" t="n"/>
      <c r="C28" s="22" t="inlineStr">
        <is>
          <t>Inbuilt Oven and Microwave</t>
        </is>
      </c>
      <c r="D28" s="33" t="n"/>
      <c r="E28" s="27" t="inlineStr">
        <is>
          <t>-</t>
        </is>
      </c>
      <c r="F28" s="27" t="inlineStr">
        <is>
          <t>-</t>
        </is>
      </c>
      <c r="G28" s="22" t="inlineStr">
        <is>
          <t>As per model selection price may vary</t>
        </is>
      </c>
    </row>
    <row r="29" ht="20" customHeight="1">
      <c r="A29" s="16" t="n"/>
      <c r="B29" s="16" t="n"/>
      <c r="C29" s="12" t="inlineStr">
        <is>
          <t>Copper pipe for Gas Cylinder connection</t>
        </is>
      </c>
      <c r="D29" s="34" t="n"/>
      <c r="E29" s="16" t="inlineStr">
        <is>
          <t>-</t>
        </is>
      </c>
      <c r="F29" s="16" t="inlineStr">
        <is>
          <t>-</t>
        </is>
      </c>
      <c r="G29" s="12" t="inlineStr">
        <is>
          <t>-</t>
        </is>
      </c>
    </row>
    <row r="30" ht="20" customHeight="1">
      <c r="A30" s="27" t="n"/>
      <c r="B30" s="27" t="n"/>
      <c r="C30" s="22" t="inlineStr">
        <is>
          <t>1x cutlery with tandem drawer</t>
        </is>
      </c>
      <c r="D30" s="33" t="n"/>
      <c r="E30" s="27" t="inlineStr">
        <is>
          <t>-</t>
        </is>
      </c>
      <c r="F30" s="27" t="inlineStr">
        <is>
          <t>-</t>
        </is>
      </c>
      <c r="G30" s="22" t="inlineStr">
        <is>
          <t>-</t>
        </is>
      </c>
    </row>
    <row r="31" ht="20" customHeight="1">
      <c r="A31" s="16" t="n"/>
      <c r="B31" s="16" t="n"/>
      <c r="C31" s="12" t="inlineStr">
        <is>
          <t>1x plain ss basket drawer</t>
        </is>
      </c>
      <c r="D31" s="34" t="n"/>
      <c r="E31" s="16" t="inlineStr">
        <is>
          <t>-</t>
        </is>
      </c>
      <c r="F31" s="16" t="inlineStr">
        <is>
          <t>-</t>
        </is>
      </c>
      <c r="G31" s="12" t="inlineStr">
        <is>
          <t>-</t>
        </is>
      </c>
    </row>
    <row r="32" ht="20" customHeight="1">
      <c r="A32" s="27" t="n"/>
      <c r="B32" s="27" t="n"/>
      <c r="C32" s="22" t="inlineStr">
        <is>
          <t>Rolling shutter</t>
        </is>
      </c>
      <c r="D32" s="33" t="n"/>
      <c r="E32" s="27" t="inlineStr">
        <is>
          <t>-</t>
        </is>
      </c>
      <c r="F32" s="27" t="inlineStr">
        <is>
          <t>-</t>
        </is>
      </c>
      <c r="G32" s="22" t="inlineStr">
        <is>
          <t>-</t>
        </is>
      </c>
    </row>
    <row r="33" ht="20" customHeight="1">
      <c r="A33" s="16" t="n"/>
      <c r="B33" s="16" t="n"/>
      <c r="C33" s="12" t="inlineStr">
        <is>
          <t>1x thali basket , Magic corner , Wicker basket</t>
        </is>
      </c>
      <c r="D33" s="34" t="n"/>
      <c r="E33" s="16" t="inlineStr">
        <is>
          <t>-</t>
        </is>
      </c>
      <c r="F33" s="16" t="inlineStr">
        <is>
          <t>-</t>
        </is>
      </c>
      <c r="G33" s="12" t="inlineStr">
        <is>
          <t>-</t>
        </is>
      </c>
    </row>
    <row r="34" ht="22" customHeight="1">
      <c r="A34" s="27" t="n">
        <v>2</v>
      </c>
      <c r="B34" s="27" t="inlineStr">
        <is>
          <t>Wardrobes</t>
        </is>
      </c>
      <c r="C34" s="22" t="inlineStr">
        <is>
          <t>Hardware-</t>
        </is>
      </c>
      <c r="D34" s="33" t="n"/>
      <c r="E34" s="35" t="n">
        <v>23500</v>
      </c>
      <c r="F34" s="25" t="n">
        <v>23500</v>
      </c>
      <c r="G34" s="22" t="inlineStr">
        <is>
          <t>handles, hinges and required hardwares added</t>
        </is>
      </c>
    </row>
    <row r="35" ht="22" customHeight="1">
      <c r="A35" s="28" t="inlineStr">
        <is>
          <t>Sub Total excluding GST (B)</t>
        </is>
      </c>
      <c r="B35" s="29" t="n"/>
      <c r="C35" s="29" t="n"/>
      <c r="D35" s="29" t="n"/>
      <c r="E35" s="30" t="n"/>
      <c r="F35" s="31">
        <f>SUM(F34:F34)</f>
        <v/>
      </c>
      <c r="G35" s="32" t="n"/>
    </row>
    <row r="36" ht="6" customHeight="1"/>
    <row r="37" ht="24" customHeight="1">
      <c r="A37" s="10" t="inlineStr">
        <is>
          <t>Section C: Miscellaneous &amp; Loose Furniture</t>
        </is>
      </c>
      <c r="B37" s="2" t="n"/>
      <c r="C37" s="2" t="n"/>
      <c r="D37" s="2" t="n"/>
      <c r="E37" s="2" t="n"/>
      <c r="F37" s="2" t="n"/>
      <c r="G37" s="3" t="n"/>
    </row>
    <row r="38" ht="22" customHeight="1">
      <c r="A38" s="14" t="inlineStr">
        <is>
          <t>Sl
No</t>
        </is>
      </c>
      <c r="B38" s="15" t="inlineStr">
        <is>
          <t>Particulars</t>
        </is>
      </c>
      <c r="C38" s="2" t="n"/>
      <c r="D38" s="3" t="n"/>
      <c r="E38" s="14" t="inlineStr">
        <is>
          <t>Price</t>
        </is>
      </c>
      <c r="F38" s="14" t="inlineStr">
        <is>
          <t>Amount</t>
        </is>
      </c>
      <c r="G38" s="15" t="inlineStr">
        <is>
          <t>Remarks</t>
        </is>
      </c>
    </row>
    <row r="39" ht="20" customHeight="1">
      <c r="A39" s="16" t="n">
        <v>1</v>
      </c>
      <c r="B39" s="12" t="inlineStr">
        <is>
          <t>King size bed Hydrolic with Headboard and side table</t>
        </is>
      </c>
      <c r="C39" s="34" t="n"/>
      <c r="D39" s="34" t="n"/>
      <c r="E39" s="16" t="inlineStr">
        <is>
          <t>-</t>
        </is>
      </c>
      <c r="F39" s="36" t="n">
        <v>0</v>
      </c>
      <c r="G39" s="12" t="inlineStr">
        <is>
          <t>-</t>
        </is>
      </c>
    </row>
    <row r="40" ht="20" customHeight="1">
      <c r="A40" s="27" t="n">
        <v>2</v>
      </c>
      <c r="B40" s="22" t="inlineStr">
        <is>
          <t>Queen size bed Hydrolic with Headboard and side table with cushion covering</t>
        </is>
      </c>
      <c r="C40" s="33" t="n"/>
      <c r="D40" s="33" t="n"/>
      <c r="E40" s="27" t="inlineStr">
        <is>
          <t>-</t>
        </is>
      </c>
      <c r="F40" s="37" t="n">
        <v>0</v>
      </c>
      <c r="G40" s="22" t="inlineStr">
        <is>
          <t>-</t>
        </is>
      </c>
    </row>
    <row r="41" ht="20" customHeight="1">
      <c r="A41" s="16" t="n">
        <v>3</v>
      </c>
      <c r="B41" s="12" t="inlineStr">
        <is>
          <t>Wallpapers</t>
        </is>
      </c>
      <c r="C41" s="34" t="n"/>
      <c r="D41" s="34" t="n"/>
      <c r="E41" s="16" t="inlineStr">
        <is>
          <t>-</t>
        </is>
      </c>
      <c r="F41" s="36" t="n">
        <v>0</v>
      </c>
      <c r="G41" s="12" t="inlineStr">
        <is>
          <t>-</t>
        </is>
      </c>
    </row>
    <row r="42" ht="20" customHeight="1">
      <c r="A42" s="27" t="n">
        <v>4</v>
      </c>
      <c r="B42" s="22" t="inlineStr">
        <is>
          <t>Painting (Royal Aspira ) 1 coat primer 2coat Asian paint Aspira</t>
        </is>
      </c>
      <c r="C42" s="33" t="n"/>
      <c r="D42" s="33" t="n"/>
      <c r="E42" s="27" t="inlineStr">
        <is>
          <t>-</t>
        </is>
      </c>
      <c r="F42" s="37" t="n">
        <v>0</v>
      </c>
      <c r="G42" s="22" t="inlineStr">
        <is>
          <t>-</t>
        </is>
      </c>
    </row>
    <row r="43" ht="20" customHeight="1">
      <c r="A43" s="16" t="n">
        <v>5</v>
      </c>
      <c r="B43" s="12" t="inlineStr">
        <is>
          <t>Quartz/Granite stone including cutting and installation</t>
        </is>
      </c>
      <c r="C43" s="34" t="n"/>
      <c r="D43" s="34" t="n"/>
      <c r="E43" s="16" t="inlineStr">
        <is>
          <t>-</t>
        </is>
      </c>
      <c r="F43" s="36" t="n">
        <v>0</v>
      </c>
      <c r="G43" s="12" t="inlineStr">
        <is>
          <t>-</t>
        </is>
      </c>
    </row>
    <row r="44" ht="20" customHeight="1">
      <c r="A44" s="27" t="n">
        <v>6</v>
      </c>
      <c r="B44" s="22" t="inlineStr">
        <is>
          <t>Electrical work ( including pop wiring switches etc )</t>
        </is>
      </c>
      <c r="C44" s="33" t="n"/>
      <c r="D44" s="33" t="n"/>
      <c r="E44" s="27" t="inlineStr">
        <is>
          <t>-</t>
        </is>
      </c>
      <c r="F44" s="37" t="n">
        <v>0</v>
      </c>
      <c r="G44" s="22" t="inlineStr">
        <is>
          <t>-</t>
        </is>
      </c>
    </row>
    <row r="45" ht="22" customHeight="1">
      <c r="A45" s="28" t="inlineStr">
        <is>
          <t>Sub Total excluding GST (C)</t>
        </is>
      </c>
      <c r="B45" s="29" t="n"/>
      <c r="C45" s="29" t="n"/>
      <c r="D45" s="29" t="n"/>
      <c r="E45" s="30" t="n"/>
      <c r="F45" s="31">
        <f>SUM(F39:F44)</f>
        <v/>
      </c>
      <c r="G45" s="32" t="n"/>
    </row>
    <row r="46" ht="6" customHeight="1"/>
    <row r="47" ht="24" customHeight="1">
      <c r="A47" s="38" t="inlineStr">
        <is>
          <t>Total Project Cost (A+B+C) excluding GST</t>
        </is>
      </c>
      <c r="B47" s="2" t="n"/>
      <c r="C47" s="2" t="n"/>
      <c r="D47" s="2" t="n"/>
      <c r="E47" s="3" t="n"/>
      <c r="F47" s="39">
        <f>F22+F35+F45</f>
        <v/>
      </c>
      <c r="G47" s="40" t="n"/>
    </row>
    <row r="48" ht="20" customHeight="1">
      <c r="A48" s="41" t="inlineStr">
        <is>
          <t>CGST@ 9%</t>
        </is>
      </c>
      <c r="B48" s="2" t="n"/>
      <c r="C48" s="2" t="n"/>
      <c r="D48" s="2" t="n"/>
      <c r="E48" s="3" t="n"/>
      <c r="F48" s="42">
        <f>ROUND(F47*0.09, 0)</f>
        <v/>
      </c>
      <c r="G48" s="43" t="n"/>
    </row>
    <row r="49" ht="20" customHeight="1">
      <c r="A49" s="41" t="inlineStr">
        <is>
          <t>SGST@ 9%</t>
        </is>
      </c>
      <c r="B49" s="2" t="n"/>
      <c r="C49" s="2" t="n"/>
      <c r="D49" s="2" t="n"/>
      <c r="E49" s="3" t="n"/>
      <c r="F49" s="42">
        <f>ROUND(F47*0.09, 0)</f>
        <v/>
      </c>
      <c r="G49" s="43" t="n"/>
    </row>
    <row r="50" ht="26" customHeight="1">
      <c r="A50" s="44" t="inlineStr">
        <is>
          <t>Total Project Cost (A+B+C) including GST</t>
        </is>
      </c>
      <c r="B50" s="45" t="n"/>
      <c r="C50" s="45" t="n"/>
      <c r="D50" s="45" t="n"/>
      <c r="E50" s="46" t="n"/>
      <c r="F50" s="47">
        <f>F47+F48+F49</f>
        <v/>
      </c>
      <c r="G50" s="48" t="n"/>
    </row>
    <row r="51" ht="6" customHeight="1"/>
    <row r="52" ht="24" customHeight="1">
      <c r="A52" s="10" t="inlineStr">
        <is>
          <t>Payment Schedule</t>
        </is>
      </c>
      <c r="B52" s="2" t="n"/>
      <c r="C52" s="2" t="n"/>
      <c r="D52" s="2" t="n"/>
      <c r="E52" s="2" t="n"/>
      <c r="F52" s="2" t="n"/>
      <c r="G52" s="3" t="n"/>
    </row>
    <row r="53" ht="22" customHeight="1">
      <c r="A53" s="14" t="inlineStr">
        <is>
          <t>Sl
No</t>
        </is>
      </c>
      <c r="B53" s="15" t="inlineStr">
        <is>
          <t>Payment Timelines</t>
        </is>
      </c>
      <c r="C53" s="2" t="n"/>
      <c r="D53" s="3" t="n"/>
      <c r="E53" s="14" t="inlineStr">
        <is>
          <t>Percentage</t>
        </is>
      </c>
      <c r="F53" s="14" t="inlineStr">
        <is>
          <t>Amount</t>
        </is>
      </c>
      <c r="G53" s="3" t="n"/>
    </row>
    <row r="54" ht="24" customHeight="1">
      <c r="A54" s="16" t="n">
        <v>1</v>
      </c>
      <c r="B54" s="12" t="inlineStr">
        <is>
          <t>At the time of project/order confirmation</t>
        </is>
      </c>
      <c r="C54" s="2" t="n"/>
      <c r="D54" s="3" t="n"/>
      <c r="E54" s="49" t="n">
        <v>0.15</v>
      </c>
      <c r="F54" s="20">
        <f>ROUND(F50*E54, 0)</f>
        <v/>
      </c>
      <c r="G54" s="3" t="n"/>
    </row>
    <row r="55" ht="24" customHeight="1">
      <c r="A55" s="27" t="n">
        <v>2</v>
      </c>
      <c r="B55" s="22" t="inlineStr">
        <is>
          <t>At the time of starting the production/execution at factory</t>
        </is>
      </c>
      <c r="C55" s="2" t="n"/>
      <c r="D55" s="3" t="n"/>
      <c r="E55" s="50" t="n">
        <v>0.5</v>
      </c>
      <c r="F55" s="25">
        <f>ROUND(F50*E55, 0)</f>
        <v/>
      </c>
      <c r="G55" s="3" t="n"/>
    </row>
    <row r="56" ht="24" customHeight="1">
      <c r="A56" s="16" t="n">
        <v>3</v>
      </c>
      <c r="B56" s="12" t="inlineStr">
        <is>
          <t>After completion of production/execution at the factory or before send to the site for the installation</t>
        </is>
      </c>
      <c r="C56" s="2" t="n"/>
      <c r="D56" s="3" t="n"/>
      <c r="E56" s="49" t="n">
        <v>0.35</v>
      </c>
      <c r="F56" s="20">
        <f>ROUND(F50*E56, 0)</f>
        <v/>
      </c>
      <c r="G56" s="3" t="n"/>
    </row>
    <row r="57" ht="6" customHeight="1"/>
    <row r="58" ht="24" customHeight="1">
      <c r="A58" s="10" t="inlineStr">
        <is>
          <t>Company Account information</t>
        </is>
      </c>
      <c r="B58" s="2" t="n"/>
      <c r="C58" s="2" t="n"/>
      <c r="D58" s="2" t="n"/>
      <c r="E58" s="2" t="n"/>
      <c r="F58" s="2" t="n"/>
      <c r="G58" s="3" t="n"/>
    </row>
    <row r="59" ht="18" customHeight="1">
      <c r="A59" s="51" t="inlineStr">
        <is>
          <t>Please issue A/c Payee cheque in the name of "DECOR8 INDIA"</t>
        </is>
      </c>
      <c r="B59" s="2" t="n"/>
      <c r="C59" s="2" t="n"/>
      <c r="D59" s="2" t="n"/>
      <c r="E59" s="2" t="n"/>
      <c r="F59" s="2" t="n"/>
      <c r="G59" s="3" t="n"/>
    </row>
    <row r="60" ht="18" customHeight="1">
      <c r="A60" s="52" t="inlineStr">
        <is>
          <t>You can also make online transactions for the below mentioned account details:</t>
        </is>
      </c>
      <c r="B60" s="2" t="n"/>
      <c r="C60" s="2" t="n"/>
      <c r="D60" s="2" t="n"/>
      <c r="E60" s="2" t="n"/>
      <c r="F60" s="2" t="n"/>
      <c r="G60" s="3" t="n"/>
    </row>
    <row r="61" ht="20" customHeight="1">
      <c r="A61" s="11" t="inlineStr">
        <is>
          <t>Bank Name:</t>
        </is>
      </c>
      <c r="B61" s="3" t="n"/>
      <c r="C61" s="13" t="inlineStr">
        <is>
          <t>IDFC FIRST BANK</t>
        </is>
      </c>
      <c r="D61" s="2" t="n"/>
      <c r="E61" s="3" t="n"/>
      <c r="F61" s="43" t="n"/>
      <c r="G61" s="3" t="n"/>
    </row>
    <row r="62" ht="20" customHeight="1">
      <c r="A62" s="11" t="inlineStr">
        <is>
          <t>Branch Name:</t>
        </is>
      </c>
      <c r="B62" s="3" t="n"/>
      <c r="C62" s="12" t="inlineStr">
        <is>
          <t>BTM Layout</t>
        </is>
      </c>
      <c r="D62" s="2" t="n"/>
      <c r="E62" s="3" t="n"/>
      <c r="F62" s="43" t="n"/>
      <c r="G62" s="3" t="n"/>
    </row>
    <row r="63" ht="20" customHeight="1">
      <c r="A63" s="11" t="inlineStr">
        <is>
          <t>A/C Name:</t>
        </is>
      </c>
      <c r="B63" s="3" t="n"/>
      <c r="C63" s="13" t="inlineStr">
        <is>
          <t>DECOR8 INDIA</t>
        </is>
      </c>
      <c r="D63" s="2" t="n"/>
      <c r="E63" s="3" t="n"/>
      <c r="F63" s="43" t="n"/>
      <c r="G63" s="3" t="n"/>
    </row>
    <row r="64" ht="20" customHeight="1">
      <c r="A64" s="11" t="inlineStr">
        <is>
          <t>A/C Number:</t>
        </is>
      </c>
      <c r="B64" s="3" t="n"/>
      <c r="C64" s="12" t="inlineStr">
        <is>
          <t>10075641203</t>
        </is>
      </c>
      <c r="D64" s="2" t="n"/>
      <c r="E64" s="3" t="n"/>
      <c r="F64" s="43" t="n"/>
      <c r="G64" s="3" t="n"/>
    </row>
    <row r="65" ht="20" customHeight="1">
      <c r="A65" s="11" t="inlineStr">
        <is>
          <t>A/C Type:</t>
        </is>
      </c>
      <c r="B65" s="3" t="n"/>
      <c r="C65" s="12" t="inlineStr">
        <is>
          <t>Current</t>
        </is>
      </c>
      <c r="D65" s="2" t="n"/>
      <c r="E65" s="3" t="n"/>
      <c r="F65" s="43" t="n"/>
      <c r="G65" s="3" t="n"/>
    </row>
    <row r="66" ht="20" customHeight="1">
      <c r="A66" s="11" t="inlineStr">
        <is>
          <t>IFSC Code:</t>
        </is>
      </c>
      <c r="B66" s="3" t="n"/>
      <c r="C66" s="12" t="inlineStr">
        <is>
          <t>IDFB0080182</t>
        </is>
      </c>
      <c r="D66" s="2" t="n"/>
      <c r="E66" s="3" t="n"/>
      <c r="F66" s="43" t="n"/>
      <c r="G66" s="3" t="n"/>
    </row>
    <row r="67" ht="6" customHeight="1"/>
    <row r="68" ht="24" customHeight="1">
      <c r="A68" s="53" t="inlineStr">
        <is>
          <t>* Terms &amp; Conditions</t>
        </is>
      </c>
      <c r="B68" s="2" t="n"/>
      <c r="C68" s="2" t="n"/>
      <c r="D68" s="2" t="n"/>
      <c r="E68" s="2" t="n"/>
      <c r="F68" s="2" t="n"/>
      <c r="G68" s="3" t="n"/>
    </row>
    <row r="69" ht="32" customHeight="1">
      <c r="A69" s="54" t="inlineStr">
        <is>
          <t>* Price is valid for 30 days only after the 1st estimation is offered. Possibility of price revision may happen due to vendor supplier reasons.</t>
        </is>
      </c>
      <c r="B69" s="2" t="n"/>
      <c r="C69" s="2" t="n"/>
      <c r="D69" s="2" t="n"/>
      <c r="E69" s="2" t="n"/>
      <c r="F69" s="2" t="n"/>
      <c r="G69" s="3" t="n"/>
    </row>
    <row r="70" ht="64" customHeight="1">
      <c r="A70" s="55" t="inlineStr">
        <is>
          <t>* DECOR8 will cover warranty period upto 15 years for any wood work related products on manufacturing defects (Plywood bendness not included). DECOR8 will not cover warranty for any intentional wear and tear or damages from the customer side. All other products from different vendors like Hettich, KAFF, EBCO, Havells etc will be covered by respective vendors /company as per their company norms and DECOR8 will support for the same.</t>
        </is>
      </c>
      <c r="B70" s="2" t="n"/>
      <c r="C70" s="2" t="n"/>
      <c r="D70" s="2" t="n"/>
      <c r="E70" s="2" t="n"/>
      <c r="F70" s="2" t="n"/>
      <c r="G70" s="3" t="n"/>
    </row>
    <row r="71" ht="80" customHeight="1">
      <c r="A71" s="54" t="inlineStr">
        <is>
          <t>* Payment terms as per payment slab should be followed from the time of booking by the client for the smooth functioning of work and output. After any revised quote due to any addition of products/changes, if price adds up, client needs to pay the difference amount as on the slab installment during that phase. This is due to the production related requirement for procuring materials, etc. For any reductions on amount due changes, the amount will be adjusted in the final billing stage.</t>
        </is>
      </c>
      <c r="B71" s="2" t="n"/>
      <c r="C71" s="2" t="n"/>
      <c r="D71" s="2" t="n"/>
      <c r="E71" s="2" t="n"/>
      <c r="F71" s="2" t="n"/>
      <c r="G71" s="3" t="n"/>
    </row>
    <row r="72" ht="32" customHeight="1">
      <c r="A72" s="55" t="inlineStr">
        <is>
          <t>* Designs will not start until complete booking amount is credited to the company followed by the payment slabs for production &amp; installation after progress.</t>
        </is>
      </c>
      <c r="B72" s="2" t="n"/>
      <c r="C72" s="2" t="n"/>
      <c r="D72" s="2" t="n"/>
      <c r="E72" s="2" t="n"/>
      <c r="F72" s="2" t="n"/>
      <c r="G72" s="3" t="n"/>
    </row>
    <row r="73" ht="32" customHeight="1">
      <c r="A73" s="54" t="inlineStr">
        <is>
          <t>* Any delay in terms of payment as per above payment schedule then there might be a delay in the execution for which DECOR8 wont be responsible.</t>
        </is>
      </c>
      <c r="B73" s="2" t="n"/>
      <c r="C73" s="2" t="n"/>
      <c r="D73" s="2" t="n"/>
      <c r="E73" s="2" t="n"/>
      <c r="F73" s="2" t="n"/>
      <c r="G73" s="3" t="n"/>
    </row>
    <row r="74" ht="48" customHeight="1">
      <c r="A74" s="55" t="inlineStr">
        <is>
          <t>* Price may be revised if there is any hike in the raw material announce officially by the supplier if the project is still in designing stage and is yet to enter production stage. No revision of price for projects which are under production.</t>
        </is>
      </c>
      <c r="B74" s="2" t="n"/>
      <c r="C74" s="2" t="n"/>
      <c r="D74" s="2" t="n"/>
      <c r="E74" s="2" t="n"/>
      <c r="F74" s="2" t="n"/>
      <c r="G74" s="3" t="n"/>
    </row>
    <row r="75" ht="20" customHeight="1">
      <c r="A75" s="54" t="inlineStr">
        <is>
          <t>* Once an order is confirmed and customer wants to cancel the order then NO amount will be refunded.</t>
        </is>
      </c>
      <c r="B75" s="2" t="n"/>
      <c r="C75" s="2" t="n"/>
      <c r="D75" s="2" t="n"/>
      <c r="E75" s="2" t="n"/>
      <c r="F75" s="2" t="n"/>
      <c r="G75" s="3" t="n"/>
    </row>
    <row r="76" ht="20" customHeight="1">
      <c r="A76" s="55" t="inlineStr">
        <is>
          <t>* No hidden charges for 3D designs (only 03 corrections allowed)</t>
        </is>
      </c>
      <c r="B76" s="2" t="n"/>
      <c r="C76" s="2" t="n"/>
      <c r="D76" s="2" t="n"/>
      <c r="E76" s="2" t="n"/>
      <c r="F76" s="2" t="n"/>
      <c r="G76" s="3" t="n"/>
    </row>
    <row r="77" ht="20" customHeight="1">
      <c r="A77" s="54" t="inlineStr">
        <is>
          <t>* Any corrections beyond 03 times, INR 3000 per each rendering will be charged to the client.</t>
        </is>
      </c>
      <c r="B77" s="2" t="n"/>
      <c r="C77" s="2" t="n"/>
      <c r="D77" s="2" t="n"/>
      <c r="E77" s="2" t="n"/>
      <c r="F77" s="2" t="n"/>
      <c r="G77" s="3" t="n"/>
    </row>
    <row r="78" ht="32" customHeight="1">
      <c r="A78" s="55" t="inlineStr">
        <is>
          <t>* Once the designs are approved and execution has started, no changes will be accepted in terms of structure or designs.</t>
        </is>
      </c>
      <c r="B78" s="2" t="n"/>
      <c r="C78" s="2" t="n"/>
      <c r="D78" s="2" t="n"/>
      <c r="E78" s="2" t="n"/>
      <c r="F78" s="2" t="n"/>
      <c r="G78" s="3" t="n"/>
    </row>
    <row r="79" ht="6" customHeight="1"/>
    <row r="80" ht="24" customHeight="1">
      <c r="A80" s="53" t="inlineStr">
        <is>
          <t>www.decor8india.com</t>
        </is>
      </c>
      <c r="B80" s="2" t="n"/>
      <c r="C80" s="2" t="n"/>
      <c r="D80" s="2" t="n"/>
      <c r="E80" s="2" t="n"/>
      <c r="F80" s="2" t="n"/>
      <c r="G80" s="3" t="n"/>
    </row>
  </sheetData>
  <mergeCells count="88">
    <mergeCell ref="B11:D11"/>
    <mergeCell ref="B42:D42"/>
    <mergeCell ref="A48:E48"/>
    <mergeCell ref="A64:B64"/>
    <mergeCell ref="B26:B33"/>
    <mergeCell ref="A45:E45"/>
    <mergeCell ref="B44:D44"/>
    <mergeCell ref="B53:D53"/>
    <mergeCell ref="A68:G68"/>
    <mergeCell ref="A59:G59"/>
    <mergeCell ref="A21:E21"/>
    <mergeCell ref="C27:D27"/>
    <mergeCell ref="B15:B18"/>
    <mergeCell ref="F56:G56"/>
    <mergeCell ref="B54:D54"/>
    <mergeCell ref="A37:G37"/>
    <mergeCell ref="A62:B62"/>
    <mergeCell ref="E2:G3"/>
    <mergeCell ref="B56:D56"/>
    <mergeCell ref="C28:D28"/>
    <mergeCell ref="B43:D43"/>
    <mergeCell ref="A71:G71"/>
    <mergeCell ref="C30:D30"/>
    <mergeCell ref="F10:G10"/>
    <mergeCell ref="F54:G54"/>
    <mergeCell ref="F63:G63"/>
    <mergeCell ref="A49:E49"/>
    <mergeCell ref="A52:G52"/>
    <mergeCell ref="A61:B61"/>
    <mergeCell ref="B10:D10"/>
    <mergeCell ref="C61:E61"/>
    <mergeCell ref="A77:G77"/>
    <mergeCell ref="B9:D9"/>
    <mergeCell ref="E4:G5"/>
    <mergeCell ref="F66:G66"/>
    <mergeCell ref="A1:G1"/>
    <mergeCell ref="F62:G62"/>
    <mergeCell ref="A69:G69"/>
    <mergeCell ref="A78:G78"/>
    <mergeCell ref="A19:A20"/>
    <mergeCell ref="F9:G9"/>
    <mergeCell ref="A75:G75"/>
    <mergeCell ref="F61:G61"/>
    <mergeCell ref="A80:G80"/>
    <mergeCell ref="A26:A33"/>
    <mergeCell ref="A63:B63"/>
    <mergeCell ref="E8:G8"/>
    <mergeCell ref="B39:D39"/>
    <mergeCell ref="F64:G64"/>
    <mergeCell ref="C63:E63"/>
    <mergeCell ref="C34:D34"/>
    <mergeCell ref="A8:D8"/>
    <mergeCell ref="A58:G58"/>
    <mergeCell ref="C29:D29"/>
    <mergeCell ref="A65:B65"/>
    <mergeCell ref="A24:G24"/>
    <mergeCell ref="A60:G60"/>
    <mergeCell ref="C31:D31"/>
    <mergeCell ref="A50:E50"/>
    <mergeCell ref="B41:D41"/>
    <mergeCell ref="A47:E47"/>
    <mergeCell ref="A22:E22"/>
    <mergeCell ref="C62:E62"/>
    <mergeCell ref="C32:D32"/>
    <mergeCell ref="C64:E64"/>
    <mergeCell ref="A15:A18"/>
    <mergeCell ref="F11:G11"/>
    <mergeCell ref="C33:D33"/>
    <mergeCell ref="F65:G65"/>
    <mergeCell ref="A72:G72"/>
    <mergeCell ref="C26:D26"/>
    <mergeCell ref="B38:D38"/>
    <mergeCell ref="A13:G13"/>
    <mergeCell ref="F55:G55"/>
    <mergeCell ref="C25:D25"/>
    <mergeCell ref="B40:D40"/>
    <mergeCell ref="A66:B66"/>
    <mergeCell ref="A73:G73"/>
    <mergeCell ref="B55:D55"/>
    <mergeCell ref="B19:B20"/>
    <mergeCell ref="C66:E66"/>
    <mergeCell ref="A70:G70"/>
    <mergeCell ref="A7:G7"/>
    <mergeCell ref="A35:E35"/>
    <mergeCell ref="A74:G74"/>
    <mergeCell ref="A76:G76"/>
    <mergeCell ref="C65:E65"/>
    <mergeCell ref="F53:G5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9"/>
  <sheetViews>
    <sheetView showGridLines="1" workbookViewId="0">
      <selection activeCell="A1" sqref="A1"/>
    </sheetView>
  </sheetViews>
  <sheetFormatPr baseColWidth="8" defaultRowHeight="15"/>
  <cols>
    <col width="8" customWidth="1" min="1" max="1"/>
    <col width="22" customWidth="1" min="2" max="2"/>
    <col width="34" customWidth="1" min="3" max="3"/>
    <col width="14" customWidth="1" min="4" max="4"/>
    <col width="16" customWidth="1" min="5" max="5"/>
    <col width="18" customWidth="1" min="6" max="6"/>
    <col width="32" customWidth="1" min="7" max="7"/>
  </cols>
  <sheetData>
    <row r="1" ht="28" customHeight="1">
      <c r="A1" s="1" t="inlineStr">
        <is>
          <t>QUOTATION</t>
        </is>
      </c>
      <c r="B1" s="2" t="n"/>
      <c r="C1" s="2" t="n"/>
      <c r="D1" s="2" t="n"/>
      <c r="E1" s="2" t="n"/>
      <c r="F1" s="2" t="n"/>
      <c r="G1" s="3" t="n"/>
    </row>
    <row r="2" ht="20" customHeight="1">
      <c r="A2" s="4" t="inlineStr">
        <is>
          <t>DECOR8 INDIA</t>
        </is>
      </c>
      <c r="E2" s="5" t="inlineStr">
        <is>
          <t>DECOR8 INDIA</t>
        </is>
      </c>
    </row>
    <row r="3" ht="16" customHeight="1">
      <c r="A3" s="6" t="inlineStr">
        <is>
          <t>#14, Sy NO 36/1 Vasanth Vallabhnagar, Vasanthapura</t>
        </is>
      </c>
    </row>
    <row r="4" ht="16" customHeight="1">
      <c r="A4" s="6" t="inlineStr">
        <is>
          <t>Uttarahalli Hobli ,Bengaluru - 560061</t>
        </is>
      </c>
      <c r="E4" s="7" t="inlineStr">
        <is>
          <t>Affordable Luxury Interiors
www.decor8india.com</t>
        </is>
      </c>
    </row>
    <row r="5" ht="16" customHeight="1">
      <c r="A5" s="6" t="inlineStr">
        <is>
          <t>8884131414 ,9380523743</t>
        </is>
      </c>
    </row>
    <row r="6" ht="18" customHeight="1">
      <c r="A6" s="8" t="inlineStr">
        <is>
          <t>GSTIN: 29CHPPB0944C2ZD</t>
        </is>
      </c>
    </row>
    <row r="7" ht="4" customHeight="1">
      <c r="A7" s="9" t="n"/>
    </row>
    <row r="8" ht="24" customHeight="1">
      <c r="A8" s="10" t="inlineStr">
        <is>
          <t>QUOTATION For - [CLIENT NAME - PROJECT / UNIT]</t>
        </is>
      </c>
      <c r="B8" s="2" t="n"/>
      <c r="C8" s="2" t="n"/>
      <c r="D8" s="3" t="n"/>
      <c r="E8" s="10" t="inlineStr">
        <is>
          <t>Company Representative: Mr.Satish</t>
        </is>
      </c>
      <c r="F8" s="2" t="n"/>
      <c r="G8" s="3" t="n"/>
    </row>
    <row r="9" ht="20" customHeight="1">
      <c r="A9" s="11" t="inlineStr">
        <is>
          <t>Quotation No:</t>
        </is>
      </c>
      <c r="B9" s="12" t="inlineStr">
        <is>
          <t>D8-2026-XXXX</t>
        </is>
      </c>
      <c r="C9" s="2" t="n"/>
      <c r="D9" s="3" t="n"/>
      <c r="E9" s="11" t="inlineStr">
        <is>
          <t>Quotation Date:</t>
        </is>
      </c>
      <c r="F9" s="12" t="inlineStr">
        <is>
          <t>DD-MMM-YYYY</t>
        </is>
      </c>
      <c r="G9" s="3" t="n"/>
    </row>
    <row r="10" ht="20" customHeight="1">
      <c r="A10" s="11" t="inlineStr">
        <is>
          <t>Contact No:</t>
        </is>
      </c>
      <c r="B10" s="12" t="inlineStr">
        <is>
          <t>+91 XXXXXXXXXX</t>
        </is>
      </c>
      <c r="C10" s="2" t="n"/>
      <c r="D10" s="3" t="n"/>
      <c r="E10" s="11" t="inlineStr">
        <is>
          <t>Address:</t>
        </is>
      </c>
      <c r="F10" s="12" t="inlineStr">
        <is>
          <t>Bengaluru</t>
        </is>
      </c>
      <c r="G10" s="3" t="n"/>
    </row>
    <row r="11" ht="20" customHeight="1">
      <c r="A11" s="11" t="inlineStr">
        <is>
          <t>Email ID :</t>
        </is>
      </c>
      <c r="B11" s="12" t="inlineStr">
        <is>
          <t>client@email.com</t>
        </is>
      </c>
      <c r="C11" s="2" t="n"/>
      <c r="D11" s="3" t="n"/>
      <c r="E11" s="13" t="inlineStr"/>
      <c r="F11" s="12" t="inlineStr"/>
      <c r="G11" s="3" t="n"/>
    </row>
    <row r="12" ht="6" customHeight="1"/>
    <row r="13" ht="24" customHeight="1">
      <c r="A13" s="10" t="inlineStr">
        <is>
          <t>Section A: Wood work &amp; Modular Finish CENTURY PLY</t>
        </is>
      </c>
      <c r="B13" s="2" t="n"/>
      <c r="C13" s="2" t="n"/>
      <c r="D13" s="2" t="n"/>
      <c r="E13" s="2" t="n"/>
      <c r="F13" s="2" t="n"/>
      <c r="G13" s="3" t="n"/>
    </row>
    <row r="14" ht="22" customHeight="1">
      <c r="A14" s="14" t="inlineStr">
        <is>
          <t>Sl
No</t>
        </is>
      </c>
      <c r="B14" s="15" t="inlineStr">
        <is>
          <t>Item Name</t>
        </is>
      </c>
      <c r="C14" s="15" t="inlineStr">
        <is>
          <t>Sub Item Name</t>
        </is>
      </c>
      <c r="D14" s="14" t="inlineStr">
        <is>
          <t>Total
SQFT</t>
        </is>
      </c>
      <c r="E14" s="14" t="inlineStr">
        <is>
          <t>Rate</t>
        </is>
      </c>
      <c r="F14" s="14" t="inlineStr">
        <is>
          <t>Amount</t>
        </is>
      </c>
      <c r="G14" s="15" t="inlineStr">
        <is>
          <t>Remarks</t>
        </is>
      </c>
    </row>
    <row r="15" ht="20" customHeight="1">
      <c r="A15" s="16" t="n">
        <v>1</v>
      </c>
      <c r="B15" s="17" t="inlineStr"/>
      <c r="C15" s="12" t="inlineStr"/>
      <c r="D15" s="16" t="inlineStr"/>
      <c r="E15" s="56" t="inlineStr"/>
      <c r="F15" s="20">
        <f>IF(AND(ISNUMBER(D15),ISNUMBER(E15)),D15*E15,"")</f>
        <v/>
      </c>
      <c r="G15" s="12" t="inlineStr"/>
    </row>
    <row r="16" ht="20" customHeight="1">
      <c r="A16" s="27" t="inlineStr"/>
      <c r="B16" s="51" t="inlineStr"/>
      <c r="C16" s="22" t="inlineStr"/>
      <c r="D16" s="27" t="inlineStr"/>
      <c r="E16" s="57" t="inlineStr"/>
      <c r="F16" s="25">
        <f>IF(AND(ISNUMBER(D16),ISNUMBER(E16)),D16*E16,"")</f>
        <v/>
      </c>
      <c r="G16" s="22" t="inlineStr"/>
    </row>
    <row r="17" ht="20" customHeight="1">
      <c r="A17" s="16" t="inlineStr"/>
      <c r="B17" s="17" t="inlineStr"/>
      <c r="C17" s="12" t="inlineStr"/>
      <c r="D17" s="16" t="inlineStr"/>
      <c r="E17" s="56" t="inlineStr"/>
      <c r="F17" s="20">
        <f>IF(AND(ISNUMBER(D17),ISNUMBER(E17)),D17*E17,"")</f>
        <v/>
      </c>
      <c r="G17" s="12" t="inlineStr"/>
    </row>
    <row r="18" ht="20" customHeight="1">
      <c r="A18" s="27" t="n">
        <v>2</v>
      </c>
      <c r="B18" s="51" t="inlineStr"/>
      <c r="C18" s="22" t="inlineStr"/>
      <c r="D18" s="27" t="inlineStr"/>
      <c r="E18" s="57" t="inlineStr"/>
      <c r="F18" s="25">
        <f>IF(AND(ISNUMBER(D18),ISNUMBER(E18)),D18*E18,"")</f>
        <v/>
      </c>
      <c r="G18" s="22" t="inlineStr"/>
    </row>
    <row r="19" ht="20" customHeight="1">
      <c r="A19" s="16" t="inlineStr"/>
      <c r="B19" s="17" t="inlineStr"/>
      <c r="C19" s="12" t="inlineStr"/>
      <c r="D19" s="16" t="inlineStr"/>
      <c r="E19" s="56" t="inlineStr"/>
      <c r="F19" s="20">
        <f>IF(AND(ISNUMBER(D19),ISNUMBER(E19)),D19*E19,"")</f>
        <v/>
      </c>
      <c r="G19" s="12" t="inlineStr"/>
    </row>
    <row r="20" ht="22" customHeight="1">
      <c r="A20" s="28" t="inlineStr">
        <is>
          <t>Sub Total excluding GST</t>
        </is>
      </c>
      <c r="B20" s="29" t="n"/>
      <c r="C20" s="29" t="n"/>
      <c r="D20" s="29" t="n"/>
      <c r="E20" s="30" t="n"/>
      <c r="F20" s="31">
        <f>SUM(F15:F19)</f>
        <v/>
      </c>
      <c r="G20" s="32" t="n"/>
    </row>
    <row r="21" ht="22" customHeight="1">
      <c r="A21" s="28" t="inlineStr">
        <is>
          <t>Sub Total excluding GST (A)</t>
        </is>
      </c>
      <c r="B21" s="29" t="n"/>
      <c r="C21" s="29" t="n"/>
      <c r="D21" s="29" t="n"/>
      <c r="E21" s="30" t="n"/>
      <c r="F21" s="31">
        <f>F20</f>
        <v/>
      </c>
      <c r="G21" s="32" t="n"/>
    </row>
    <row r="22" ht="6" customHeight="1"/>
    <row r="23" ht="24" customHeight="1">
      <c r="A23" s="10" t="inlineStr">
        <is>
          <t>Section B: Appliances &amp; Accessories</t>
        </is>
      </c>
      <c r="B23" s="2" t="n"/>
      <c r="C23" s="2" t="n"/>
      <c r="D23" s="2" t="n"/>
      <c r="E23" s="2" t="n"/>
      <c r="F23" s="2" t="n"/>
      <c r="G23" s="3" t="n"/>
    </row>
    <row r="24" ht="22" customHeight="1">
      <c r="A24" s="14" t="inlineStr">
        <is>
          <t>Sl
No</t>
        </is>
      </c>
      <c r="B24" s="15" t="inlineStr">
        <is>
          <t>Particulars</t>
        </is>
      </c>
      <c r="C24" s="15" t="inlineStr">
        <is>
          <t>Item Details</t>
        </is>
      </c>
      <c r="D24" s="3" t="n"/>
      <c r="E24" s="14" t="inlineStr">
        <is>
          <t>Price</t>
        </is>
      </c>
      <c r="F24" s="14" t="inlineStr">
        <is>
          <t>Amount</t>
        </is>
      </c>
      <c r="G24" s="15" t="inlineStr">
        <is>
          <t>Remarks</t>
        </is>
      </c>
    </row>
    <row r="25" ht="20" customHeight="1">
      <c r="A25" s="16" t="n">
        <v>1</v>
      </c>
      <c r="B25" s="16" t="inlineStr">
        <is>
          <t>Kitchen
Hardware(including soft
hinges )</t>
        </is>
      </c>
      <c r="C25" s="12" t="inlineStr"/>
      <c r="D25" s="34" t="n"/>
      <c r="E25" s="56" t="inlineStr"/>
      <c r="F25" s="56" t="inlineStr"/>
      <c r="G25" s="12" t="inlineStr"/>
    </row>
    <row r="26" ht="20" customHeight="1">
      <c r="A26" s="27" t="n"/>
      <c r="B26" s="27" t="n"/>
      <c r="C26" s="22" t="inlineStr"/>
      <c r="D26" s="33" t="n"/>
      <c r="E26" s="57" t="inlineStr"/>
      <c r="F26" s="57" t="inlineStr"/>
      <c r="G26" s="22" t="inlineStr"/>
    </row>
    <row r="27" ht="20" customHeight="1">
      <c r="A27" s="16" t="n"/>
      <c r="B27" s="16" t="n"/>
      <c r="C27" s="12" t="inlineStr"/>
      <c r="D27" s="34" t="n"/>
      <c r="E27" s="56" t="inlineStr"/>
      <c r="F27" s="56" t="inlineStr"/>
      <c r="G27" s="12" t="inlineStr"/>
    </row>
    <row r="28" ht="20" customHeight="1">
      <c r="A28" s="27" t="n"/>
      <c r="B28" s="27" t="n"/>
      <c r="C28" s="22" t="inlineStr"/>
      <c r="D28" s="33" t="n"/>
      <c r="E28" s="57" t="inlineStr"/>
      <c r="F28" s="57" t="inlineStr"/>
      <c r="G28" s="22" t="inlineStr"/>
    </row>
    <row r="29" ht="20" customHeight="1">
      <c r="A29" s="16" t="n"/>
      <c r="B29" s="16" t="n"/>
      <c r="C29" s="12" t="inlineStr"/>
      <c r="D29" s="34" t="n"/>
      <c r="E29" s="56" t="inlineStr"/>
      <c r="F29" s="56" t="inlineStr"/>
      <c r="G29" s="12" t="inlineStr"/>
    </row>
    <row r="30" ht="20" customHeight="1">
      <c r="A30" s="27" t="n"/>
      <c r="B30" s="27" t="n"/>
      <c r="C30" s="22" t="inlineStr"/>
      <c r="D30" s="33" t="n"/>
      <c r="E30" s="57" t="inlineStr"/>
      <c r="F30" s="57" t="inlineStr"/>
      <c r="G30" s="22" t="inlineStr"/>
    </row>
    <row r="31" ht="20" customHeight="1">
      <c r="A31" s="16" t="n"/>
      <c r="B31" s="16" t="n"/>
      <c r="C31" s="12" t="inlineStr"/>
      <c r="D31" s="34" t="n"/>
      <c r="E31" s="56" t="inlineStr"/>
      <c r="F31" s="56" t="inlineStr"/>
      <c r="G31" s="12" t="inlineStr"/>
    </row>
    <row r="32" ht="20" customHeight="1">
      <c r="A32" s="27" t="n"/>
      <c r="B32" s="27" t="n"/>
      <c r="C32" s="22" t="inlineStr"/>
      <c r="D32" s="33" t="n"/>
      <c r="E32" s="57" t="inlineStr"/>
      <c r="F32" s="57" t="inlineStr"/>
      <c r="G32" s="22" t="inlineStr"/>
    </row>
    <row r="33" ht="22" customHeight="1">
      <c r="A33" s="16" t="n">
        <v>2</v>
      </c>
      <c r="B33" s="16" t="inlineStr">
        <is>
          <t>Wardrobes</t>
        </is>
      </c>
      <c r="C33" s="12" t="inlineStr"/>
      <c r="D33" s="34" t="n"/>
      <c r="E33" s="56" t="inlineStr"/>
      <c r="F33" s="56" t="inlineStr"/>
      <c r="G33" s="12" t="inlineStr"/>
    </row>
    <row r="34" ht="22" customHeight="1">
      <c r="A34" s="28" t="inlineStr">
        <is>
          <t>Sub Total excluding GST (B)</t>
        </is>
      </c>
      <c r="B34" s="29" t="n"/>
      <c r="C34" s="29" t="n"/>
      <c r="D34" s="29" t="n"/>
      <c r="E34" s="30" t="n"/>
      <c r="F34" s="31">
        <f>SUM(F33:F33)</f>
        <v/>
      </c>
      <c r="G34" s="32" t="n"/>
    </row>
    <row r="35" ht="6" customHeight="1"/>
    <row r="36" ht="24" customHeight="1">
      <c r="A36" s="10" t="inlineStr">
        <is>
          <t>Section C: Miscellaneous &amp; Loose Furniture</t>
        </is>
      </c>
      <c r="B36" s="2" t="n"/>
      <c r="C36" s="2" t="n"/>
      <c r="D36" s="2" t="n"/>
      <c r="E36" s="2" t="n"/>
      <c r="F36" s="2" t="n"/>
      <c r="G36" s="3" t="n"/>
    </row>
    <row r="37" ht="22" customHeight="1">
      <c r="A37" s="14" t="inlineStr">
        <is>
          <t>Sl
No</t>
        </is>
      </c>
      <c r="B37" s="15" t="inlineStr">
        <is>
          <t>Particulars</t>
        </is>
      </c>
      <c r="C37" s="2" t="n"/>
      <c r="D37" s="3" t="n"/>
      <c r="E37" s="14" t="inlineStr">
        <is>
          <t>Price</t>
        </is>
      </c>
      <c r="F37" s="14" t="inlineStr">
        <is>
          <t>Amount</t>
        </is>
      </c>
      <c r="G37" s="15" t="inlineStr">
        <is>
          <t>Remarks</t>
        </is>
      </c>
    </row>
    <row r="38" ht="20" customHeight="1">
      <c r="A38" s="27" t="n">
        <v>1</v>
      </c>
      <c r="B38" s="22" t="inlineStr"/>
      <c r="C38" s="33" t="n"/>
      <c r="D38" s="33" t="n"/>
      <c r="E38" s="27" t="inlineStr"/>
      <c r="F38" s="37" t="inlineStr"/>
      <c r="G38" s="22" t="inlineStr"/>
    </row>
    <row r="39" ht="20" customHeight="1">
      <c r="A39" s="16" t="n">
        <v>2</v>
      </c>
      <c r="B39" s="12" t="inlineStr"/>
      <c r="C39" s="34" t="n"/>
      <c r="D39" s="34" t="n"/>
      <c r="E39" s="16" t="inlineStr"/>
      <c r="F39" s="36" t="inlineStr"/>
      <c r="G39" s="12" t="inlineStr"/>
    </row>
    <row r="40" ht="20" customHeight="1">
      <c r="A40" s="27" t="n">
        <v>3</v>
      </c>
      <c r="B40" s="22" t="inlineStr"/>
      <c r="C40" s="33" t="n"/>
      <c r="D40" s="33" t="n"/>
      <c r="E40" s="27" t="inlineStr"/>
      <c r="F40" s="37" t="inlineStr"/>
      <c r="G40" s="22" t="inlineStr"/>
    </row>
    <row r="41" ht="20" customHeight="1">
      <c r="A41" s="16" t="n">
        <v>4</v>
      </c>
      <c r="B41" s="12" t="inlineStr"/>
      <c r="C41" s="34" t="n"/>
      <c r="D41" s="34" t="n"/>
      <c r="E41" s="16" t="inlineStr"/>
      <c r="F41" s="36" t="inlineStr"/>
      <c r="G41" s="12" t="inlineStr"/>
    </row>
    <row r="42" ht="20" customHeight="1">
      <c r="A42" s="27" t="n">
        <v>5</v>
      </c>
      <c r="B42" s="22" t="inlineStr"/>
      <c r="C42" s="33" t="n"/>
      <c r="D42" s="33" t="n"/>
      <c r="E42" s="27" t="inlineStr"/>
      <c r="F42" s="37" t="inlineStr"/>
      <c r="G42" s="22" t="inlineStr"/>
    </row>
    <row r="43" ht="20" customHeight="1">
      <c r="A43" s="16" t="n">
        <v>6</v>
      </c>
      <c r="B43" s="12" t="inlineStr"/>
      <c r="C43" s="34" t="n"/>
      <c r="D43" s="34" t="n"/>
      <c r="E43" s="16" t="inlineStr"/>
      <c r="F43" s="36" t="inlineStr"/>
      <c r="G43" s="12" t="inlineStr"/>
    </row>
    <row r="44" ht="22" customHeight="1">
      <c r="A44" s="28" t="inlineStr">
        <is>
          <t>Sub Total excluding GST (C)</t>
        </is>
      </c>
      <c r="B44" s="29" t="n"/>
      <c r="C44" s="29" t="n"/>
      <c r="D44" s="29" t="n"/>
      <c r="E44" s="30" t="n"/>
      <c r="F44" s="31">
        <f>SUM(F38:F43)</f>
        <v/>
      </c>
      <c r="G44" s="32" t="n"/>
    </row>
    <row r="45" ht="6" customHeight="1"/>
    <row r="46" ht="24" customHeight="1">
      <c r="A46" s="38" t="inlineStr">
        <is>
          <t>Total Project Cost (A+B+C) excluding GST</t>
        </is>
      </c>
      <c r="B46" s="2" t="n"/>
      <c r="C46" s="2" t="n"/>
      <c r="D46" s="2" t="n"/>
      <c r="E46" s="3" t="n"/>
      <c r="F46" s="39">
        <f>F21+F34+F44</f>
        <v/>
      </c>
      <c r="G46" s="40" t="n"/>
    </row>
    <row r="47" ht="20" customHeight="1">
      <c r="A47" s="41" t="inlineStr">
        <is>
          <t>CGST@ 9%</t>
        </is>
      </c>
      <c r="B47" s="2" t="n"/>
      <c r="C47" s="2" t="n"/>
      <c r="D47" s="2" t="n"/>
      <c r="E47" s="3" t="n"/>
      <c r="F47" s="42">
        <f>ROUND(F46*0.09, 0)</f>
        <v/>
      </c>
      <c r="G47" s="43" t="n"/>
    </row>
    <row r="48" ht="20" customHeight="1">
      <c r="A48" s="41" t="inlineStr">
        <is>
          <t>SGST@ 9%</t>
        </is>
      </c>
      <c r="B48" s="2" t="n"/>
      <c r="C48" s="2" t="n"/>
      <c r="D48" s="2" t="n"/>
      <c r="E48" s="3" t="n"/>
      <c r="F48" s="42">
        <f>ROUND(F46*0.09, 0)</f>
        <v/>
      </c>
      <c r="G48" s="43" t="n"/>
    </row>
    <row r="49" ht="26" customHeight="1">
      <c r="A49" s="44" t="inlineStr">
        <is>
          <t>Total Project Cost (A+B+C) including GST</t>
        </is>
      </c>
      <c r="B49" s="45" t="n"/>
      <c r="C49" s="45" t="n"/>
      <c r="D49" s="45" t="n"/>
      <c r="E49" s="46" t="n"/>
      <c r="F49" s="47">
        <f>F46+F47+F48</f>
        <v/>
      </c>
      <c r="G49" s="48" t="n"/>
    </row>
    <row r="50" ht="6" customHeight="1"/>
    <row r="51" ht="24" customHeight="1">
      <c r="A51" s="10" t="inlineStr">
        <is>
          <t>Payment Schedule</t>
        </is>
      </c>
      <c r="B51" s="2" t="n"/>
      <c r="C51" s="2" t="n"/>
      <c r="D51" s="2" t="n"/>
      <c r="E51" s="2" t="n"/>
      <c r="F51" s="2" t="n"/>
      <c r="G51" s="3" t="n"/>
    </row>
    <row r="52" ht="22" customHeight="1">
      <c r="A52" s="14" t="inlineStr">
        <is>
          <t>Sl
No</t>
        </is>
      </c>
      <c r="B52" s="15" t="inlineStr">
        <is>
          <t>Payment Timelines</t>
        </is>
      </c>
      <c r="C52" s="2" t="n"/>
      <c r="D52" s="3" t="n"/>
      <c r="E52" s="14" t="inlineStr">
        <is>
          <t>Percentage</t>
        </is>
      </c>
      <c r="F52" s="14" t="inlineStr">
        <is>
          <t>Amount</t>
        </is>
      </c>
      <c r="G52" s="3" t="n"/>
    </row>
    <row r="53" ht="24" customHeight="1">
      <c r="A53" s="16" t="n">
        <v>1</v>
      </c>
      <c r="B53" s="12" t="inlineStr">
        <is>
          <t>At the time of project/order confirmation</t>
        </is>
      </c>
      <c r="C53" s="2" t="n"/>
      <c r="D53" s="3" t="n"/>
      <c r="E53" s="49" t="n">
        <v>0.15</v>
      </c>
      <c r="F53" s="20">
        <f>ROUND(F49*E53, 0)</f>
        <v/>
      </c>
      <c r="G53" s="3" t="n"/>
    </row>
    <row r="54" ht="24" customHeight="1">
      <c r="A54" s="27" t="n">
        <v>2</v>
      </c>
      <c r="B54" s="22" t="inlineStr">
        <is>
          <t>At the time of starting the production/execution at factory</t>
        </is>
      </c>
      <c r="C54" s="2" t="n"/>
      <c r="D54" s="3" t="n"/>
      <c r="E54" s="50" t="n">
        <v>0.5</v>
      </c>
      <c r="F54" s="25">
        <f>ROUND(F49*E54, 0)</f>
        <v/>
      </c>
      <c r="G54" s="3" t="n"/>
    </row>
    <row r="55" ht="24" customHeight="1">
      <c r="A55" s="16" t="n">
        <v>3</v>
      </c>
      <c r="B55" s="12" t="inlineStr">
        <is>
          <t>After completion of production/execution at the factory or before send to the site for the installation</t>
        </is>
      </c>
      <c r="C55" s="2" t="n"/>
      <c r="D55" s="3" t="n"/>
      <c r="E55" s="49" t="n">
        <v>0.35</v>
      </c>
      <c r="F55" s="20">
        <f>ROUND(F49*E55, 0)</f>
        <v/>
      </c>
      <c r="G55" s="3" t="n"/>
    </row>
    <row r="56" ht="6" customHeight="1"/>
    <row r="57" ht="24" customHeight="1">
      <c r="A57" s="10" t="inlineStr">
        <is>
          <t>Company Account information</t>
        </is>
      </c>
      <c r="B57" s="2" t="n"/>
      <c r="C57" s="2" t="n"/>
      <c r="D57" s="2" t="n"/>
      <c r="E57" s="2" t="n"/>
      <c r="F57" s="2" t="n"/>
      <c r="G57" s="3" t="n"/>
    </row>
    <row r="58" ht="18" customHeight="1">
      <c r="A58" s="51" t="inlineStr">
        <is>
          <t>Please issue A/c Payee cheque in the name of "DECOR8 INDIA"</t>
        </is>
      </c>
      <c r="B58" s="2" t="n"/>
      <c r="C58" s="2" t="n"/>
      <c r="D58" s="2" t="n"/>
      <c r="E58" s="2" t="n"/>
      <c r="F58" s="2" t="n"/>
      <c r="G58" s="3" t="n"/>
    </row>
    <row r="59" ht="18" customHeight="1">
      <c r="A59" s="52" t="inlineStr">
        <is>
          <t>You can also make online transactions for the below mentioned account details:</t>
        </is>
      </c>
      <c r="B59" s="2" t="n"/>
      <c r="C59" s="2" t="n"/>
      <c r="D59" s="2" t="n"/>
      <c r="E59" s="2" t="n"/>
      <c r="F59" s="2" t="n"/>
      <c r="G59" s="3" t="n"/>
    </row>
    <row r="60" ht="20" customHeight="1">
      <c r="A60" s="11" t="inlineStr">
        <is>
          <t>Bank Name:</t>
        </is>
      </c>
      <c r="B60" s="3" t="n"/>
      <c r="C60" s="13" t="inlineStr">
        <is>
          <t>IDFC FIRST BANK</t>
        </is>
      </c>
      <c r="D60" s="2" t="n"/>
      <c r="E60" s="3" t="n"/>
      <c r="F60" s="43" t="n"/>
      <c r="G60" s="3" t="n"/>
    </row>
    <row r="61" ht="20" customHeight="1">
      <c r="A61" s="11" t="inlineStr">
        <is>
          <t>Branch Name:</t>
        </is>
      </c>
      <c r="B61" s="3" t="n"/>
      <c r="C61" s="12" t="inlineStr">
        <is>
          <t>BTM Layout</t>
        </is>
      </c>
      <c r="D61" s="2" t="n"/>
      <c r="E61" s="3" t="n"/>
      <c r="F61" s="43" t="n"/>
      <c r="G61" s="3" t="n"/>
    </row>
    <row r="62" ht="20" customHeight="1">
      <c r="A62" s="11" t="inlineStr">
        <is>
          <t>A/C Name:</t>
        </is>
      </c>
      <c r="B62" s="3" t="n"/>
      <c r="C62" s="13" t="inlineStr">
        <is>
          <t>DECOR8 INDIA</t>
        </is>
      </c>
      <c r="D62" s="2" t="n"/>
      <c r="E62" s="3" t="n"/>
      <c r="F62" s="43" t="n"/>
      <c r="G62" s="3" t="n"/>
    </row>
    <row r="63" ht="20" customHeight="1">
      <c r="A63" s="11" t="inlineStr">
        <is>
          <t>A/C Number:</t>
        </is>
      </c>
      <c r="B63" s="3" t="n"/>
      <c r="C63" s="12" t="inlineStr">
        <is>
          <t>10075641203</t>
        </is>
      </c>
      <c r="D63" s="2" t="n"/>
      <c r="E63" s="3" t="n"/>
      <c r="F63" s="43" t="n"/>
      <c r="G63" s="3" t="n"/>
    </row>
    <row r="64" ht="20" customHeight="1">
      <c r="A64" s="11" t="inlineStr">
        <is>
          <t>A/C Type:</t>
        </is>
      </c>
      <c r="B64" s="3" t="n"/>
      <c r="C64" s="12" t="inlineStr">
        <is>
          <t>Current</t>
        </is>
      </c>
      <c r="D64" s="2" t="n"/>
      <c r="E64" s="3" t="n"/>
      <c r="F64" s="43" t="n"/>
      <c r="G64" s="3" t="n"/>
    </row>
    <row r="65" ht="20" customHeight="1">
      <c r="A65" s="11" t="inlineStr">
        <is>
          <t>IFSC Code:</t>
        </is>
      </c>
      <c r="B65" s="3" t="n"/>
      <c r="C65" s="12" t="inlineStr">
        <is>
          <t>IDFB0080182</t>
        </is>
      </c>
      <c r="D65" s="2" t="n"/>
      <c r="E65" s="3" t="n"/>
      <c r="F65" s="43" t="n"/>
      <c r="G65" s="3" t="n"/>
    </row>
    <row r="66" ht="6" customHeight="1"/>
    <row r="67" ht="24" customHeight="1">
      <c r="A67" s="53" t="inlineStr">
        <is>
          <t>* Terms &amp; Conditions</t>
        </is>
      </c>
      <c r="B67" s="2" t="n"/>
      <c r="C67" s="2" t="n"/>
      <c r="D67" s="2" t="n"/>
      <c r="E67" s="2" t="n"/>
      <c r="F67" s="2" t="n"/>
      <c r="G67" s="3" t="n"/>
    </row>
    <row r="68" ht="32" customHeight="1">
      <c r="A68" s="54" t="inlineStr">
        <is>
          <t>* Price is valid for 30 days only after the 1st estimation is offered. Possibility of price revision may happen due to vendor supplier reasons.</t>
        </is>
      </c>
      <c r="B68" s="2" t="n"/>
      <c r="C68" s="2" t="n"/>
      <c r="D68" s="2" t="n"/>
      <c r="E68" s="2" t="n"/>
      <c r="F68" s="2" t="n"/>
      <c r="G68" s="3" t="n"/>
    </row>
    <row r="69" ht="64" customHeight="1">
      <c r="A69" s="55" t="inlineStr">
        <is>
          <t>* DECOR8 will cover warranty period upto 15 years for any wood work related products on manufacturing defects (Plywood bendness not included). DECOR8 will not cover warranty for any intentional wear and tear or damages from the customer side. All other products from different vendors like Hettich, KAFF, EBCO, Havells etc will be covered by respective vendors /company as per their company norms and DECOR8 will support for the same.</t>
        </is>
      </c>
      <c r="B69" s="2" t="n"/>
      <c r="C69" s="2" t="n"/>
      <c r="D69" s="2" t="n"/>
      <c r="E69" s="2" t="n"/>
      <c r="F69" s="2" t="n"/>
      <c r="G69" s="3" t="n"/>
    </row>
    <row r="70" ht="80" customHeight="1">
      <c r="A70" s="54" t="inlineStr">
        <is>
          <t>* Payment terms as per payment slab should be followed from the time of booking by the client for the smooth functioning of work and output. After any revised quote due to any addition of products/changes, if price adds up, client needs to pay the difference amount as on the slab installment during that phase. This is due to the production related requirement for procuring materials, etc. For any reductions on amount due changes, the amount will be adjusted in the final billing stage.</t>
        </is>
      </c>
      <c r="B70" s="2" t="n"/>
      <c r="C70" s="2" t="n"/>
      <c r="D70" s="2" t="n"/>
      <c r="E70" s="2" t="n"/>
      <c r="F70" s="2" t="n"/>
      <c r="G70" s="3" t="n"/>
    </row>
    <row r="71" ht="32" customHeight="1">
      <c r="A71" s="55" t="inlineStr">
        <is>
          <t>* Designs will not start until complete booking amount is credited to the company followed by the payment slabs for production &amp; installation after progress.</t>
        </is>
      </c>
      <c r="B71" s="2" t="n"/>
      <c r="C71" s="2" t="n"/>
      <c r="D71" s="2" t="n"/>
      <c r="E71" s="2" t="n"/>
      <c r="F71" s="2" t="n"/>
      <c r="G71" s="3" t="n"/>
    </row>
    <row r="72" ht="32" customHeight="1">
      <c r="A72" s="54" t="inlineStr">
        <is>
          <t>* Any delay in terms of payment as per above payment schedule then there might be a delay in the execution for which DECOR8 wont be responsible.</t>
        </is>
      </c>
      <c r="B72" s="2" t="n"/>
      <c r="C72" s="2" t="n"/>
      <c r="D72" s="2" t="n"/>
      <c r="E72" s="2" t="n"/>
      <c r="F72" s="2" t="n"/>
      <c r="G72" s="3" t="n"/>
    </row>
    <row r="73" ht="48" customHeight="1">
      <c r="A73" s="55" t="inlineStr">
        <is>
          <t>* Price may be revised if there is any hike in the raw material announce officially by the supplier if the project is still in designing stage and is yet to enter production stage. No revision of price for projects which are under production.</t>
        </is>
      </c>
      <c r="B73" s="2" t="n"/>
      <c r="C73" s="2" t="n"/>
      <c r="D73" s="2" t="n"/>
      <c r="E73" s="2" t="n"/>
      <c r="F73" s="2" t="n"/>
      <c r="G73" s="3" t="n"/>
    </row>
    <row r="74" ht="20" customHeight="1">
      <c r="A74" s="54" t="inlineStr">
        <is>
          <t>* Once an order is confirmed and customer wants to cancel the order then NO amount will be refunded.</t>
        </is>
      </c>
      <c r="B74" s="2" t="n"/>
      <c r="C74" s="2" t="n"/>
      <c r="D74" s="2" t="n"/>
      <c r="E74" s="2" t="n"/>
      <c r="F74" s="2" t="n"/>
      <c r="G74" s="3" t="n"/>
    </row>
    <row r="75" ht="20" customHeight="1">
      <c r="A75" s="55" t="inlineStr">
        <is>
          <t>* No hidden charges for 3D designs (only 03 corrections allowed)</t>
        </is>
      </c>
      <c r="B75" s="2" t="n"/>
      <c r="C75" s="2" t="n"/>
      <c r="D75" s="2" t="n"/>
      <c r="E75" s="2" t="n"/>
      <c r="F75" s="2" t="n"/>
      <c r="G75" s="3" t="n"/>
    </row>
    <row r="76" ht="20" customHeight="1">
      <c r="A76" s="54" t="inlineStr">
        <is>
          <t>* Any corrections beyond 03 times, INR 3000 per each rendering will be charged to the client.</t>
        </is>
      </c>
      <c r="B76" s="2" t="n"/>
      <c r="C76" s="2" t="n"/>
      <c r="D76" s="2" t="n"/>
      <c r="E76" s="2" t="n"/>
      <c r="F76" s="2" t="n"/>
      <c r="G76" s="3" t="n"/>
    </row>
    <row r="77" ht="32" customHeight="1">
      <c r="A77" s="55" t="inlineStr">
        <is>
          <t>* Once the designs are approved and execution has started, no changes will be accepted in terms of structure or designs.</t>
        </is>
      </c>
      <c r="B77" s="2" t="n"/>
      <c r="C77" s="2" t="n"/>
      <c r="D77" s="2" t="n"/>
      <c r="E77" s="2" t="n"/>
      <c r="F77" s="2" t="n"/>
      <c r="G77" s="3" t="n"/>
    </row>
    <row r="78" ht="6" customHeight="1"/>
    <row r="79" ht="24" customHeight="1">
      <c r="A79" s="53" t="inlineStr">
        <is>
          <t>www.decor8india.com</t>
        </is>
      </c>
      <c r="B79" s="2" t="n"/>
      <c r="C79" s="2" t="n"/>
      <c r="D79" s="2" t="n"/>
      <c r="E79" s="2" t="n"/>
      <c r="F79" s="2" t="n"/>
      <c r="G79" s="3" t="n"/>
    </row>
  </sheetData>
  <mergeCells count="84">
    <mergeCell ref="B11:D11"/>
    <mergeCell ref="B42:D42"/>
    <mergeCell ref="A48:E48"/>
    <mergeCell ref="A64:B64"/>
    <mergeCell ref="B53:D53"/>
    <mergeCell ref="A68:G68"/>
    <mergeCell ref="C60:E60"/>
    <mergeCell ref="B37:D37"/>
    <mergeCell ref="A46:E46"/>
    <mergeCell ref="A59:G59"/>
    <mergeCell ref="A21:E21"/>
    <mergeCell ref="A79:G79"/>
    <mergeCell ref="C27:D27"/>
    <mergeCell ref="B54:D54"/>
    <mergeCell ref="A62:B62"/>
    <mergeCell ref="E2:G3"/>
    <mergeCell ref="C28:D28"/>
    <mergeCell ref="B43:D43"/>
    <mergeCell ref="A71:G71"/>
    <mergeCell ref="A23:G23"/>
    <mergeCell ref="A34:E34"/>
    <mergeCell ref="C30:D30"/>
    <mergeCell ref="F10:G10"/>
    <mergeCell ref="F54:G54"/>
    <mergeCell ref="F63:G63"/>
    <mergeCell ref="A49:E49"/>
    <mergeCell ref="A61:B61"/>
    <mergeCell ref="B10:D10"/>
    <mergeCell ref="C61:E61"/>
    <mergeCell ref="A77:G77"/>
    <mergeCell ref="B9:D9"/>
    <mergeCell ref="A25:A32"/>
    <mergeCell ref="E4:G5"/>
    <mergeCell ref="A36:G36"/>
    <mergeCell ref="A1:G1"/>
    <mergeCell ref="F62:G62"/>
    <mergeCell ref="A69:G69"/>
    <mergeCell ref="F9:G9"/>
    <mergeCell ref="A75:G75"/>
    <mergeCell ref="F61:G61"/>
    <mergeCell ref="A63:B63"/>
    <mergeCell ref="E8:G8"/>
    <mergeCell ref="A57:G57"/>
    <mergeCell ref="B39:D39"/>
    <mergeCell ref="F64:G64"/>
    <mergeCell ref="C63:E63"/>
    <mergeCell ref="A8:D8"/>
    <mergeCell ref="A58:G58"/>
    <mergeCell ref="C29:D29"/>
    <mergeCell ref="A65:B65"/>
    <mergeCell ref="A67:G67"/>
    <mergeCell ref="C31:D31"/>
    <mergeCell ref="B41:D41"/>
    <mergeCell ref="A47:E47"/>
    <mergeCell ref="C62:E62"/>
    <mergeCell ref="C32:D32"/>
    <mergeCell ref="A20:E20"/>
    <mergeCell ref="C64:E64"/>
    <mergeCell ref="A44:E44"/>
    <mergeCell ref="F11:G11"/>
    <mergeCell ref="C24:D24"/>
    <mergeCell ref="A60:B60"/>
    <mergeCell ref="C33:D33"/>
    <mergeCell ref="F65:G65"/>
    <mergeCell ref="B25:B32"/>
    <mergeCell ref="A72:G72"/>
    <mergeCell ref="C26:D26"/>
    <mergeCell ref="B38:D38"/>
    <mergeCell ref="A13:G13"/>
    <mergeCell ref="F55:G55"/>
    <mergeCell ref="C25:D25"/>
    <mergeCell ref="B40:D40"/>
    <mergeCell ref="A73:G73"/>
    <mergeCell ref="B55:D55"/>
    <mergeCell ref="A51:G51"/>
    <mergeCell ref="A70:G70"/>
    <mergeCell ref="A7:G7"/>
    <mergeCell ref="F52:G52"/>
    <mergeCell ref="A74:G74"/>
    <mergeCell ref="F60:G60"/>
    <mergeCell ref="B52:D52"/>
    <mergeCell ref="A76:G76"/>
    <mergeCell ref="C65:E65"/>
    <mergeCell ref="F53:G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2026-08-24T08:46:33Z</dcterms:created>
  <dcterms:modified xmlns:dcterms="http://purl.org/dc/terms/" xmlns:xsi="http://www.w3.org/2001/XMLSchema-instance" xsi:type="dcterms:W3CDTF">2026-08-24T08:46:33Z</dcterms:modified>
</cp:coreProperties>
</file>